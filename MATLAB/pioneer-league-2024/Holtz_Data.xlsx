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z/Documents/Baseball_Scheduling/pioneer-league-2024/"/>
    </mc:Choice>
  </mc:AlternateContent>
  <xr:revisionPtr revIDLastSave="0" documentId="13_ncr:1_{25E52D1B-8A92-304F-B303-78BC3D0C0DB3}" xr6:coauthVersionLast="47" xr6:coauthVersionMax="47" xr10:uidLastSave="{00000000-0000-0000-0000-000000000000}"/>
  <bookViews>
    <workbookView xWindow="-19540" yWindow="-21100" windowWidth="28800" windowHeight="16100" xr2:uid="{8A156AD9-C19A-204B-89D6-0F7C24F4BA7E}"/>
  </bookViews>
  <sheets>
    <sheet name="DATA" sheetId="2" r:id="rId1"/>
    <sheet name="Events" sheetId="3" r:id="rId2"/>
    <sheet name="Date Preferenc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G16" i="2" l="1"/>
  <c r="H31" i="2"/>
  <c r="C17" i="2"/>
  <c r="F30" i="2"/>
  <c r="G39" i="2"/>
  <c r="I38" i="2"/>
  <c r="K37" i="2"/>
  <c r="C37" i="2"/>
  <c r="E36" i="2"/>
  <c r="G35" i="2"/>
  <c r="I34" i="2"/>
  <c r="K33" i="2"/>
  <c r="C33" i="2"/>
  <c r="G31" i="2"/>
  <c r="D30" i="2"/>
  <c r="E30" i="2"/>
  <c r="F39" i="2"/>
  <c r="H38" i="2"/>
  <c r="L36" i="2"/>
  <c r="D36" i="2"/>
  <c r="F35" i="2"/>
  <c r="H34" i="2"/>
  <c r="J33" i="2"/>
  <c r="L32" i="2"/>
  <c r="D32" i="2"/>
  <c r="F31" i="2"/>
  <c r="L30" i="2"/>
  <c r="E39" i="2"/>
  <c r="G38" i="2"/>
  <c r="I37" i="2"/>
  <c r="K36" i="2"/>
  <c r="C36" i="2"/>
  <c r="E35" i="2"/>
  <c r="I33" i="2"/>
  <c r="K32" i="2"/>
  <c r="C32" i="2"/>
  <c r="E31" i="2"/>
  <c r="K30" i="2"/>
  <c r="D39" i="2"/>
  <c r="F38" i="2"/>
  <c r="H37" i="2"/>
  <c r="J36" i="2"/>
  <c r="L35" i="2"/>
  <c r="D35" i="2"/>
  <c r="F34" i="2"/>
  <c r="H33" i="2"/>
  <c r="J32" i="2"/>
  <c r="L31" i="2"/>
  <c r="J30" i="2"/>
  <c r="K39" i="2"/>
  <c r="C39" i="2"/>
  <c r="E38" i="2"/>
  <c r="G37" i="2"/>
  <c r="K35" i="2"/>
  <c r="C35" i="2"/>
  <c r="E34" i="2"/>
  <c r="G33" i="2"/>
  <c r="I32" i="2"/>
  <c r="K31" i="2"/>
  <c r="C31" i="2"/>
  <c r="I30" i="2"/>
  <c r="J39" i="2"/>
  <c r="L38" i="2"/>
  <c r="D38" i="2"/>
  <c r="F37" i="2"/>
  <c r="H36" i="2"/>
  <c r="J35" i="2"/>
  <c r="L34" i="2"/>
  <c r="D34" i="2"/>
  <c r="H32" i="2"/>
  <c r="J31" i="2"/>
  <c r="H30" i="2"/>
  <c r="I39" i="2"/>
  <c r="C38" i="2"/>
  <c r="E37" i="2"/>
  <c r="G36" i="2"/>
  <c r="I35" i="2"/>
  <c r="K34" i="2"/>
  <c r="C34" i="2"/>
  <c r="E33" i="2"/>
  <c r="G32" i="2"/>
  <c r="I31" i="2"/>
  <c r="G30" i="2"/>
  <c r="H39" i="2"/>
  <c r="J38" i="2"/>
  <c r="L37" i="2"/>
  <c r="D37" i="2"/>
  <c r="F36" i="2"/>
  <c r="J34" i="2"/>
  <c r="L33" i="2"/>
  <c r="D33" i="2"/>
  <c r="F32" i="2"/>
  <c r="F20" i="2"/>
  <c r="I18" i="2"/>
  <c r="C18" i="2"/>
  <c r="H23" i="2"/>
  <c r="H19" i="2"/>
  <c r="K17" i="2"/>
  <c r="F24" i="2"/>
  <c r="L21" i="2"/>
  <c r="D21" i="2"/>
  <c r="J18" i="2"/>
  <c r="G19" i="2"/>
  <c r="I17" i="2"/>
  <c r="J25" i="2"/>
  <c r="L24" i="2"/>
  <c r="D24" i="2"/>
  <c r="F23" i="2"/>
  <c r="H22" i="2"/>
  <c r="J21" i="2"/>
  <c r="L20" i="2"/>
  <c r="D20" i="2"/>
  <c r="H18" i="2"/>
  <c r="J17" i="2"/>
  <c r="C25" i="2"/>
  <c r="G23" i="2"/>
  <c r="K21" i="2"/>
  <c r="E20" i="2"/>
  <c r="F16" i="2"/>
  <c r="H17" i="2"/>
  <c r="I25" i="2"/>
  <c r="C24" i="2"/>
  <c r="E23" i="2"/>
  <c r="G22" i="2"/>
  <c r="I21" i="2"/>
  <c r="K20" i="2"/>
  <c r="C20" i="2"/>
  <c r="E19" i="2"/>
  <c r="G18" i="2"/>
  <c r="H16" i="2"/>
  <c r="K25" i="2"/>
  <c r="E24" i="2"/>
  <c r="C21" i="2"/>
  <c r="E16" i="2"/>
  <c r="G17" i="2"/>
  <c r="H25" i="2"/>
  <c r="J24" i="2"/>
  <c r="L23" i="2"/>
  <c r="D23" i="2"/>
  <c r="F22" i="2"/>
  <c r="J20" i="2"/>
  <c r="L19" i="2"/>
  <c r="D19" i="2"/>
  <c r="F18" i="2"/>
  <c r="I16" i="2"/>
  <c r="D25" i="2"/>
  <c r="J22" i="2"/>
  <c r="D16" i="2"/>
  <c r="L16" i="2"/>
  <c r="F17" i="2"/>
  <c r="G25" i="2"/>
  <c r="I24" i="2"/>
  <c r="K23" i="2"/>
  <c r="C23" i="2"/>
  <c r="E22" i="2"/>
  <c r="G21" i="2"/>
  <c r="I20" i="2"/>
  <c r="K19" i="2"/>
  <c r="C19" i="2"/>
  <c r="K16" i="2"/>
  <c r="E17" i="2"/>
  <c r="F25" i="2"/>
  <c r="H24" i="2"/>
  <c r="L22" i="2"/>
  <c r="D22" i="2"/>
  <c r="F21" i="2"/>
  <c r="H20" i="2"/>
  <c r="J19" i="2"/>
  <c r="L18" i="2"/>
  <c r="D18" i="2"/>
  <c r="J16" i="2"/>
  <c r="L17" i="2"/>
  <c r="E25" i="2"/>
  <c r="G24" i="2"/>
  <c r="I23" i="2"/>
  <c r="K22" i="2"/>
  <c r="C22" i="2"/>
  <c r="E21" i="2"/>
  <c r="I19" i="2"/>
  <c r="K18" i="2"/>
  <c r="M36" i="2" l="1"/>
  <c r="G40" i="2"/>
  <c r="M31" i="2"/>
  <c r="D49" i="2"/>
  <c r="M35" i="2"/>
  <c r="M39" i="2"/>
  <c r="D40" i="2"/>
  <c r="E40" i="2"/>
  <c r="M38" i="2"/>
  <c r="F40" i="2"/>
  <c r="M37" i="2"/>
  <c r="C51" i="2"/>
  <c r="D47" i="2"/>
  <c r="M34" i="2"/>
  <c r="C46" i="2"/>
  <c r="M32" i="2"/>
  <c r="C45" i="2"/>
  <c r="D44" i="2"/>
  <c r="C49" i="2"/>
  <c r="D50" i="2"/>
  <c r="C47" i="2"/>
  <c r="D52" i="2"/>
  <c r="C44" i="2"/>
  <c r="D48" i="2"/>
  <c r="C40" i="2"/>
  <c r="M33" i="2"/>
  <c r="D53" i="2"/>
  <c r="C53" i="2"/>
  <c r="D46" i="2"/>
  <c r="D51" i="2"/>
  <c r="C50" i="2"/>
  <c r="C52" i="2"/>
  <c r="C48" i="2"/>
  <c r="D45" i="2"/>
  <c r="H40" i="2"/>
  <c r="K40" i="2"/>
  <c r="I40" i="2"/>
  <c r="M18" i="2"/>
  <c r="G26" i="2"/>
  <c r="M17" i="2"/>
  <c r="E26" i="2"/>
  <c r="C26" i="2"/>
  <c r="M25" i="2"/>
  <c r="M19" i="2"/>
  <c r="F26" i="2"/>
  <c r="M22" i="2"/>
  <c r="M20" i="2"/>
  <c r="M21" i="2"/>
  <c r="M23" i="2"/>
  <c r="M24" i="2"/>
  <c r="H26" i="2"/>
  <c r="I26" i="2"/>
  <c r="K26" i="2"/>
  <c r="D26" i="2"/>
  <c r="E48" i="2" l="1"/>
  <c r="E47" i="2"/>
  <c r="F53" i="2"/>
  <c r="E49" i="2"/>
  <c r="E52" i="2"/>
  <c r="E53" i="2"/>
  <c r="E45" i="2"/>
  <c r="E50" i="2"/>
  <c r="E44" i="2"/>
  <c r="G51" i="2" s="1"/>
  <c r="E46" i="2"/>
  <c r="E51" i="2"/>
  <c r="J40" i="2"/>
  <c r="L40" i="2"/>
  <c r="J26" i="2"/>
  <c r="L26" i="2"/>
  <c r="G47" i="2" l="1"/>
  <c r="F47" i="2"/>
  <c r="G44" i="2"/>
  <c r="G45" i="2"/>
  <c r="F46" i="2"/>
  <c r="F49" i="2"/>
  <c r="F44" i="2"/>
  <c r="F50" i="2"/>
  <c r="G50" i="2"/>
  <c r="F45" i="2"/>
  <c r="G48" i="2"/>
  <c r="G53" i="2"/>
  <c r="G49" i="2"/>
  <c r="G52" i="2"/>
  <c r="F48" i="2"/>
  <c r="F52" i="2"/>
  <c r="G46" i="2"/>
  <c r="F51" i="2"/>
  <c r="M30" i="2"/>
  <c r="M40" i="2" s="1"/>
  <c r="M16" i="2"/>
  <c r="M26" i="2" s="1"/>
</calcChain>
</file>

<file path=xl/sharedStrings.xml><?xml version="1.0" encoding="utf-8"?>
<sst xmlns="http://schemas.openxmlformats.org/spreadsheetml/2006/main" count="1814" uniqueCount="565">
  <si>
    <t>Billings</t>
  </si>
  <si>
    <t>Boise</t>
  </si>
  <si>
    <t>Grand Junction</t>
  </si>
  <si>
    <t>Great Falls</t>
  </si>
  <si>
    <t>Idaho Falls</t>
  </si>
  <si>
    <t>Missoula</t>
  </si>
  <si>
    <t>Ogden</t>
  </si>
  <si>
    <t>BIL</t>
  </si>
  <si>
    <t>BOI</t>
  </si>
  <si>
    <t>MIS</t>
  </si>
  <si>
    <t>OGD</t>
  </si>
  <si>
    <t>Glacier</t>
  </si>
  <si>
    <t>NoCo</t>
  </si>
  <si>
    <t>Rocky Mountain</t>
  </si>
  <si>
    <t>GRR</t>
  </si>
  <si>
    <t>GJJ</t>
  </si>
  <si>
    <t>GFV</t>
  </si>
  <si>
    <t>RMV</t>
  </si>
  <si>
    <t>IDF</t>
  </si>
  <si>
    <t>MILES</t>
  </si>
  <si>
    <t>TIME</t>
  </si>
  <si>
    <t>HOME GAMES</t>
  </si>
  <si>
    <t>TOTAL</t>
  </si>
  <si>
    <t>Event ID</t>
  </si>
  <si>
    <t>Game Date</t>
  </si>
  <si>
    <t>Away Team</t>
  </si>
  <si>
    <t>Home Team</t>
  </si>
  <si>
    <t>2f3xe1uoikt3o95x</t>
  </si>
  <si>
    <t>Grand Junction Jackalopes</t>
  </si>
  <si>
    <t>Ogden Raptors</t>
  </si>
  <si>
    <t>qeff2gr8qz16awz3</t>
  </si>
  <si>
    <t>Missoula PaddleHeads</t>
  </si>
  <si>
    <t>Billings Mustangs</t>
  </si>
  <si>
    <t>uhmkve4nngsjf67d</t>
  </si>
  <si>
    <t>Glacier Range Riders</t>
  </si>
  <si>
    <t>Great Falls Voyagers</t>
  </si>
  <si>
    <t>uutvtu1p08bnulrf</t>
  </si>
  <si>
    <t>Idaho Falls Chukars</t>
  </si>
  <si>
    <t>Boise Hawks</t>
  </si>
  <si>
    <t>ga23xog5qtk5g0qy</t>
  </si>
  <si>
    <t>Rocky Mountain Vibes</t>
  </si>
  <si>
    <t>Northern Colorado Owlz</t>
  </si>
  <si>
    <t>cvu4p0zwggth2uhq</t>
  </si>
  <si>
    <t>osdgurscksjtddc6</t>
  </si>
  <si>
    <t>61ly7nt67zqpw11t</t>
  </si>
  <si>
    <t>mmkiwa5l85j7zkic</t>
  </si>
  <si>
    <t>9zrk3lmmy8lg5pep</t>
  </si>
  <si>
    <t>3xmk38am6owe6uma</t>
  </si>
  <si>
    <t>bpvdq03gyi1b7am9</t>
  </si>
  <si>
    <t>7mtm7px1kcznnhkj</t>
  </si>
  <si>
    <t>qbbwntmbeldoptli</t>
  </si>
  <si>
    <t>hed30kf7rsy7jbks</t>
  </si>
  <si>
    <t>wprtkijvdxogcct9</t>
  </si>
  <si>
    <t>wbn30y5tou8irfxj</t>
  </si>
  <si>
    <t>ddjeh10wolossx11</t>
  </si>
  <si>
    <t>7c5dettt0mcrny0q</t>
  </si>
  <si>
    <t>9ulevkngopnpv1sm</t>
  </si>
  <si>
    <t>zgi7jes9c8kdwpub</t>
  </si>
  <si>
    <t>u8g2aimyzbfs19v5</t>
  </si>
  <si>
    <t>53bxt9r3kpif3jq6</t>
  </si>
  <si>
    <t>xninrud420ya7xsi</t>
  </si>
  <si>
    <t>bprnn5hsgi44fbg9</t>
  </si>
  <si>
    <t>muy83kpcsz8nf28j</t>
  </si>
  <si>
    <t>p2q1uban20a2082d</t>
  </si>
  <si>
    <t>3j2ezi84epvf6zbp</t>
  </si>
  <si>
    <t>k0f52qckcvvsxgx3</t>
  </si>
  <si>
    <t>y89h6jfbofh9mool</t>
  </si>
  <si>
    <t>br96h7czkfxr9exs</t>
  </si>
  <si>
    <t>b5k59110kdzklikp</t>
  </si>
  <si>
    <t>jx5aee9eybc81gm7</t>
  </si>
  <si>
    <t>dft5wo4vucda3okx</t>
  </si>
  <si>
    <t>eise83e9xc6woepe</t>
  </si>
  <si>
    <t>w946rfjms5tre8bk</t>
  </si>
  <si>
    <t>3gupqlptd9fknxt2</t>
  </si>
  <si>
    <t>uivbwpd0cb6q5w1o</t>
  </si>
  <si>
    <t>44xpmfz6la7fsjby</t>
  </si>
  <si>
    <t>8z1hqja46d71g8e5</t>
  </si>
  <si>
    <t>lsfwa22qkrjdnlos</t>
  </si>
  <si>
    <t>9t1a2zcumx3rb8zv</t>
  </si>
  <si>
    <t>blqk4mhm77w8zwaj</t>
  </si>
  <si>
    <t>ag5n4l2bmrjdlcxz</t>
  </si>
  <si>
    <t>x8ee1ar41ghgs4kp</t>
  </si>
  <si>
    <t>zdhehlcoize18b5u</t>
  </si>
  <si>
    <t>kca8679fg2bmwsvu</t>
  </si>
  <si>
    <t>t26vb07kisi9zwsy</t>
  </si>
  <si>
    <t>rds4jmqiq3qxz7bn</t>
  </si>
  <si>
    <t>x60ihxqd1c30cxl6</t>
  </si>
  <si>
    <t>rmvp2451m59ow0ms</t>
  </si>
  <si>
    <t>09jv0ol4uoj6scct</t>
  </si>
  <si>
    <t>tqry68875i8vodh5</t>
  </si>
  <si>
    <t>g1zwsb7fojaj8lc3</t>
  </si>
  <si>
    <t>d45a2n3qd3hhwamm</t>
  </si>
  <si>
    <t>y3emze76tlm0sbay</t>
  </si>
  <si>
    <t>sm07lwon8lhjhxxp</t>
  </si>
  <si>
    <t>w6dp8skufmm0h7m6</t>
  </si>
  <si>
    <t>uoaupak25sksxsnf</t>
  </si>
  <si>
    <t>3bdnoek5klu9nkis</t>
  </si>
  <si>
    <t>wqm4j5s1wwl22rw5</t>
  </si>
  <si>
    <t>baufr8sv92xtrx21</t>
  </si>
  <si>
    <t>iv1plqosyz9bebjx</t>
  </si>
  <si>
    <t>temo1hoaxu047nma</t>
  </si>
  <si>
    <t>wgnfq53su8ysqr6q</t>
  </si>
  <si>
    <t>e7zg3elkclym02i6</t>
  </si>
  <si>
    <t>a94u0mttuea3hjk0</t>
  </si>
  <si>
    <t>klia3et2i20hlepx</t>
  </si>
  <si>
    <t>lekbhq24b8hspjz6</t>
  </si>
  <si>
    <t>svpicutw89wwi96x</t>
  </si>
  <si>
    <t>61qhbrcf1s7yr25h</t>
  </si>
  <si>
    <t>me71bi86v3gaxeo2</t>
  </si>
  <si>
    <t>8qrscg54ufvmea1f</t>
  </si>
  <si>
    <t>ywu3kw76e0uwu9yi</t>
  </si>
  <si>
    <t>pdsq5yg90c2h9kgw</t>
  </si>
  <si>
    <t>89g9akigtllg3ltz</t>
  </si>
  <si>
    <t>gq2alvt6u3zyt76c</t>
  </si>
  <si>
    <t>xsmrmzfdekw0k2iq</t>
  </si>
  <si>
    <t>9oyr7bfmjxnj2f31</t>
  </si>
  <si>
    <t>28yzrfr6sh1nf3ep</t>
  </si>
  <si>
    <t>3o0syfldkco2ooda</t>
  </si>
  <si>
    <t>9mrtbgtoy9hwkpsk</t>
  </si>
  <si>
    <t>sluyec098by074i6</t>
  </si>
  <si>
    <t>z6260rj6vcvrbwt3</t>
  </si>
  <si>
    <t>p9i7yha3fw2zbseb</t>
  </si>
  <si>
    <t>rmxz7nqvy4fj7rv6</t>
  </si>
  <si>
    <t>znfm8zbgyzyo26f2</t>
  </si>
  <si>
    <t>btani24heqel6luf</t>
  </si>
  <si>
    <t>ful1f9rtdadlintj</t>
  </si>
  <si>
    <t>4dljkwq0iss5lk5n</t>
  </si>
  <si>
    <t>yu1h8vcm5h2mplcm</t>
  </si>
  <si>
    <t>dk9zk39b08u5ngqm</t>
  </si>
  <si>
    <t>a9yoam1psn0cum05</t>
  </si>
  <si>
    <t>krv2ke0u8u7dpxsg</t>
  </si>
  <si>
    <t>f3d97outnaa0a0m4</t>
  </si>
  <si>
    <t>ttlm5y1n4cxbc2cx</t>
  </si>
  <si>
    <t>fn0dosuu2umlt225</t>
  </si>
  <si>
    <t>3eosbgkgw3ml632i</t>
  </si>
  <si>
    <t>5h8x355x363j5p6e</t>
  </si>
  <si>
    <t>inshacgd0zlc3eno</t>
  </si>
  <si>
    <t>i1ab8nxuvpdpuvml</t>
  </si>
  <si>
    <t>fk5jav2ilxvdiewn</t>
  </si>
  <si>
    <t>xylgytgqr9xqcc9p</t>
  </si>
  <si>
    <t>xoz4u3b0s6edrqr6</t>
  </si>
  <si>
    <t>86hdlfow7c6sdiyy</t>
  </si>
  <si>
    <t>w3mnpxy1korx9nk7</t>
  </si>
  <si>
    <t>8w1j93ryn4c15n7d</t>
  </si>
  <si>
    <t>82x2z8xe1mwttler</t>
  </si>
  <si>
    <t>m8ln2ienwo4h526g</t>
  </si>
  <si>
    <t>rtl226n5ik2w08jl</t>
  </si>
  <si>
    <t>kke4zjm1js542izj</t>
  </si>
  <si>
    <t>ce740x4zzc75j3rm</t>
  </si>
  <si>
    <t>gnmoed2l1j3etgnj</t>
  </si>
  <si>
    <t>ku3vpyhcj99op76r</t>
  </si>
  <si>
    <t>wq734o8oi2vk15md</t>
  </si>
  <si>
    <t>1x5jt98pb2dp7v2u</t>
  </si>
  <si>
    <t>1esmgz5l6hhzuriz</t>
  </si>
  <si>
    <t>ltpje3gaxlswpbhn</t>
  </si>
  <si>
    <t>genunyhpd6r71xhq</t>
  </si>
  <si>
    <t>cr8xj6566la3xxty</t>
  </si>
  <si>
    <t>6t8p9nivjztqzn0f</t>
  </si>
  <si>
    <t>1p89nj2v0ntyfm5z</t>
  </si>
  <si>
    <t>1aujn8cqgtndhqv5</t>
  </si>
  <si>
    <t>e7hlrbg65ohe6mox</t>
  </si>
  <si>
    <t>7pscavxv3jruahop</t>
  </si>
  <si>
    <t>lio2yfbb48vj3kj3</t>
  </si>
  <si>
    <t>07djrq5mk28kpeh6</t>
  </si>
  <si>
    <t>ex8h348m0bv1pufn</t>
  </si>
  <si>
    <t>u15apeh9ruk2uvjg</t>
  </si>
  <si>
    <t>sfg7l9924s9fh88b</t>
  </si>
  <si>
    <t>w9zjpmjjrcsbftp0</t>
  </si>
  <si>
    <t>ket02lwr8v5b4bg2</t>
  </si>
  <si>
    <t>czlhkbp6ixachfff</t>
  </si>
  <si>
    <t>2s82cpujsay05fx4</t>
  </si>
  <si>
    <t>ayqvslghthu59gx9</t>
  </si>
  <si>
    <t>ufuhk2635euekcwd</t>
  </si>
  <si>
    <t>8g8gtvy7gti4vnvm</t>
  </si>
  <si>
    <t>9imc47suf29rpt7u</t>
  </si>
  <si>
    <t>5b5hanvm67hnn6be</t>
  </si>
  <si>
    <t>2b73v2ynyekd6ho9</t>
  </si>
  <si>
    <t>12485p3wtu7x26is</t>
  </si>
  <si>
    <t>t80v2lphjyrk7b65</t>
  </si>
  <si>
    <t>744p95zk9yv49l8h</t>
  </si>
  <si>
    <t>k009vmu8v0bueeks</t>
  </si>
  <si>
    <t>xjouijmo90rbddhl</t>
  </si>
  <si>
    <t>abwbx12ufcgcqwmm</t>
  </si>
  <si>
    <t>dyjypwzcmxanp502</t>
  </si>
  <si>
    <t>vumf9ovsbobn1ph7</t>
  </si>
  <si>
    <t>kgz2f6di95q9yxwi</t>
  </si>
  <si>
    <t>qvh2vsxh29o6ah27</t>
  </si>
  <si>
    <t>4tn6jxbjrurolbyg</t>
  </si>
  <si>
    <t>jks2bs1jcfk3e0t9</t>
  </si>
  <si>
    <t>s3pyiq73kt8llrmy</t>
  </si>
  <si>
    <t>snqs2c65rutrpf0h</t>
  </si>
  <si>
    <t>cfrl1qf5o8oztrqe</t>
  </si>
  <si>
    <t>zm3c6jjls85hlx0n</t>
  </si>
  <si>
    <t>0uc41i3vq7fle11c</t>
  </si>
  <si>
    <t>cz3a1lk5pxv0dxfc</t>
  </si>
  <si>
    <t>08dpeltfust5mrqt</t>
  </si>
  <si>
    <t>cb7xd0gu1178mzgg</t>
  </si>
  <si>
    <t>whbe4zq3un4bwfre</t>
  </si>
  <si>
    <t>qylvnq8chr9v8rvx</t>
  </si>
  <si>
    <t>2opjki47e6yzjiy2</t>
  </si>
  <si>
    <t>jlrxw1k746rgijse</t>
  </si>
  <si>
    <t>do8pfy3qkeuzikc9</t>
  </si>
  <si>
    <t>jgufmimshju5duis</t>
  </si>
  <si>
    <t>w3vfdexfmdxbi5y9</t>
  </si>
  <si>
    <t>5brx0hsudve5cuaj</t>
  </si>
  <si>
    <t>hu4w2pguxaba6wyx</t>
  </si>
  <si>
    <t>evlkx2xx6kc24o7i</t>
  </si>
  <si>
    <t>mksrdm09cd9e92fz</t>
  </si>
  <si>
    <t>k1utpg19dgtjljtd</t>
  </si>
  <si>
    <t>ipr98ihridydaav5</t>
  </si>
  <si>
    <t>fvkd1k4msqy5u9b1</t>
  </si>
  <si>
    <t>r79q1dttsberll8j</t>
  </si>
  <si>
    <t>ywj0kj1q59oyqyx8</t>
  </si>
  <si>
    <t>jwgyqdawhtvo48gf</t>
  </si>
  <si>
    <t>vm7ckujip6pv9s7o</t>
  </si>
  <si>
    <t>ww31h7t9dke2iv0i</t>
  </si>
  <si>
    <t>5oeol5wxmcngrr6b</t>
  </si>
  <si>
    <t>lokfn0k6thuhf19c</t>
  </si>
  <si>
    <t>r64z4jh3xa5ak3cj</t>
  </si>
  <si>
    <t>ulbi77slsdw175qm</t>
  </si>
  <si>
    <t>1ksw9gqq07ay3hf3</t>
  </si>
  <si>
    <t>ed00pkqeftxwkeu6</t>
  </si>
  <si>
    <t>xkk05ngyfc7zu4tn</t>
  </si>
  <si>
    <t>j7evtq15fljgsfb3</t>
  </si>
  <si>
    <t>u12f6qav08z3tcqy</t>
  </si>
  <si>
    <t>ee9a5nfdq6xlsnu8</t>
  </si>
  <si>
    <t>akf614f345pnzvft</t>
  </si>
  <si>
    <t>5ceb81s0flvbpqlf</t>
  </si>
  <si>
    <t>km9xyn9kdx926zwf</t>
  </si>
  <si>
    <t>l42gk6z0kbzs0wt1</t>
  </si>
  <si>
    <t>oivxhwj4p6hnsfm0</t>
  </si>
  <si>
    <t>u2pmlk0l7srjn9r9</t>
  </si>
  <si>
    <t>ezxflebi42m82o22</t>
  </si>
  <si>
    <t>shsadwi2k0emm0xk</t>
  </si>
  <si>
    <t>li5nvkj8wy0pppgr</t>
  </si>
  <si>
    <t>twok3vptxpmpgp2p</t>
  </si>
  <si>
    <t>vz12ua6j6iinfc7h</t>
  </si>
  <si>
    <t>h6aub1v9j4du4hbs</t>
  </si>
  <si>
    <t>5jfk9n5tdidv5tex</t>
  </si>
  <si>
    <t>15g0k6be1lw81ckd</t>
  </si>
  <si>
    <t>uxj0w6xiksk56vvg</t>
  </si>
  <si>
    <t>29rvlqebepx9usbq</t>
  </si>
  <si>
    <t>erp60jf0jfvj7u4y</t>
  </si>
  <si>
    <t>8ku73wljeslfu2yy</t>
  </si>
  <si>
    <t>jrkl4yedx0orccea</t>
  </si>
  <si>
    <t>hd4w833b70iyjuq9</t>
  </si>
  <si>
    <t>db06k9ql8b38s6id</t>
  </si>
  <si>
    <t>7i5d6tjlsfywoa0k</t>
  </si>
  <si>
    <t>1o7d8alsmqppoax5</t>
  </si>
  <si>
    <t>jfytzzm3ont59zk3</t>
  </si>
  <si>
    <t>sp2oeevjhmhl251k</t>
  </si>
  <si>
    <t>ixeqmoiv9mfp2vnq</t>
  </si>
  <si>
    <t>uthglsbozo9hz17t</t>
  </si>
  <si>
    <t>gos65bi7bed5vdcf</t>
  </si>
  <si>
    <t>gfu68n7j8ptjdf4p</t>
  </si>
  <si>
    <t>oy02kc1yvv6addxo</t>
  </si>
  <si>
    <t>szawlr8edzihpn6w</t>
  </si>
  <si>
    <t>nthl8xij120mzxri</t>
  </si>
  <si>
    <t>6kk1ig486kfux2n7</t>
  </si>
  <si>
    <t>uxvn35ef7w9t6ol7</t>
  </si>
  <si>
    <t>770qbqskjux09b9p</t>
  </si>
  <si>
    <t>3edk0yv83wzjw9e0</t>
  </si>
  <si>
    <t>2ku6ijw79hkftldu</t>
  </si>
  <si>
    <t>7gbnhof3k6ntc6ul</t>
  </si>
  <si>
    <t>x9a2u4tw481795kg</t>
  </si>
  <si>
    <t>esgii74wmtigpc1n</t>
  </si>
  <si>
    <t>05ww8gfg8r2enmc9</t>
  </si>
  <si>
    <t>2dlwn3sq85nj960p</t>
  </si>
  <si>
    <t>xcpg1gqc13em29wf</t>
  </si>
  <si>
    <t>mn10o928ol1ki7o0</t>
  </si>
  <si>
    <t>hbqswcdkj03e3df3</t>
  </si>
  <si>
    <t>hf6e9hkaz9zzqtrr</t>
  </si>
  <si>
    <t>bsgnuo62pmfzzsac</t>
  </si>
  <si>
    <t>o5lyaxlgcsewwjrw</t>
  </si>
  <si>
    <t>8jmss7epqf6elqzj</t>
  </si>
  <si>
    <t>01j03owf4namc3s7</t>
  </si>
  <si>
    <t>m2vj3vtq1rivdjpn</t>
  </si>
  <si>
    <t>thjnlfzxx7jfjsr8</t>
  </si>
  <si>
    <t>9qe2eph03cxa5uji</t>
  </si>
  <si>
    <t>qkzoncvzic7wz226</t>
  </si>
  <si>
    <t>swkwog3h19ahuith</t>
  </si>
  <si>
    <t>q6dv7vccu5k54d5e</t>
  </si>
  <si>
    <t>9c2epo1m8yzmubky</t>
  </si>
  <si>
    <t>aqk8kh8iba7xx6t2</t>
  </si>
  <si>
    <t>z1nm2f102ydfqxgx</t>
  </si>
  <si>
    <t>xartiaxfk9cwxlv3</t>
  </si>
  <si>
    <t>nooi965nk3lw6i6x</t>
  </si>
  <si>
    <t>w2v45f5awkhg5z33</t>
  </si>
  <si>
    <t>fbkfykcegt1agl5t</t>
  </si>
  <si>
    <t>dgocpzr8o9m9njtm</t>
  </si>
  <si>
    <t>imjgqicwpstkpame</t>
  </si>
  <si>
    <t>nn2t8jjoq83dnatm</t>
  </si>
  <si>
    <t>luordu5vfktgtokv</t>
  </si>
  <si>
    <t>x76phvnl219kam9b</t>
  </si>
  <si>
    <t>a76b4momtd1s74zo</t>
  </si>
  <si>
    <t>lom8z486nlbfwqks</t>
  </si>
  <si>
    <t>3xzsj1y7dixv063y</t>
  </si>
  <si>
    <t>aed7wibibew9dx40</t>
  </si>
  <si>
    <t>ka1a548x8f1wt8qx</t>
  </si>
  <si>
    <t>7tkkza48yto8tu2q</t>
  </si>
  <si>
    <t>w5g6xqsuqx83fh9f</t>
  </si>
  <si>
    <t>3r8pv5tco89rapgf</t>
  </si>
  <si>
    <t>rmbh385f2d8xlgf0</t>
  </si>
  <si>
    <t>yqlc4jd8k8yqmmqn</t>
  </si>
  <si>
    <t>se9l3rn4bmx8xsnw</t>
  </si>
  <si>
    <t>it7m0o3307k34s7f</t>
  </si>
  <si>
    <t>f4slg6xwc4cycy2l</t>
  </si>
  <si>
    <t>e9lmhbwu1cifn60h</t>
  </si>
  <si>
    <t>ddrgo4mcf2qw4brh</t>
  </si>
  <si>
    <t>4tc1cnwrnrzi6lee</t>
  </si>
  <si>
    <t>5r81qaom5hdarnp0</t>
  </si>
  <si>
    <t>51msj7szs2tojl6i</t>
  </si>
  <si>
    <t>i8ziebsvu3i79xxa</t>
  </si>
  <si>
    <t>4qug86282qbo84oi</t>
  </si>
  <si>
    <t>hx3iq41ghnr7p8ko</t>
  </si>
  <si>
    <t>kp1u90ux0x23hq5i</t>
  </si>
  <si>
    <t>rwn3h2c3pjngx3ic</t>
  </si>
  <si>
    <t>kinzuxzcnn228sbn</t>
  </si>
  <si>
    <t>wp2pb9e92gf3fdbu</t>
  </si>
  <si>
    <t>4zj4nbhenswsl9jy</t>
  </si>
  <si>
    <t>5gbnc8apy6ndxwzw</t>
  </si>
  <si>
    <t>vf205kiiuyf67tyj</t>
  </si>
  <si>
    <t>r1bpik4t11ra67fq</t>
  </si>
  <si>
    <t>hji2d1l840rxq86z</t>
  </si>
  <si>
    <t>8nwjsffkuyu0gtwq</t>
  </si>
  <si>
    <t>cuel9sylps8anne8</t>
  </si>
  <si>
    <t>0mht9evu0xlixwu0</t>
  </si>
  <si>
    <t>fmsk89oe73z5yjol</t>
  </si>
  <si>
    <t>kzp6j3h5ohk6awfm</t>
  </si>
  <si>
    <t>hizzntced1j0symi</t>
  </si>
  <si>
    <t>z6awmv3uhf13i7w4</t>
  </si>
  <si>
    <t>ft78mwelpye7nra6</t>
  </si>
  <si>
    <t>syyf150pt6sg3szd</t>
  </si>
  <si>
    <t>kgojdfk252q8wjno</t>
  </si>
  <si>
    <t>i8duo15monk29vhd</t>
  </si>
  <si>
    <t>9tbfd0zki63grwsn</t>
  </si>
  <si>
    <t>go0j5ymm13qq3qxc</t>
  </si>
  <si>
    <t>oxwuumg77a7m8dqy</t>
  </si>
  <si>
    <t>l8ppd7j0u287z4dh</t>
  </si>
  <si>
    <t>au7vhagaffgefqsp</t>
  </si>
  <si>
    <t>3r4s8w0iayb9yrl0</t>
  </si>
  <si>
    <t>pa7kp9mi3ns5mlal</t>
  </si>
  <si>
    <t>wx4h708x7ize0ekx</t>
  </si>
  <si>
    <t>oyo44taubqabsund</t>
  </si>
  <si>
    <t>hh5xq91v8b1d1oe0</t>
  </si>
  <si>
    <t>l6mfrljt16b09ai4</t>
  </si>
  <si>
    <t>8ctqghga5y73jvnn</t>
  </si>
  <si>
    <t>nlwwpwoh1qiv7we6</t>
  </si>
  <si>
    <t>07n5u5cma232yzim</t>
  </si>
  <si>
    <t>ie14i14k14vjaiyu</t>
  </si>
  <si>
    <t>ggxbpvy1kbj6nmsv</t>
  </si>
  <si>
    <t>l2rq0fe8l77al0zx</t>
  </si>
  <si>
    <t>fn6rh8ekw2wbwhes</t>
  </si>
  <si>
    <t>23runzaw4fcf11c1</t>
  </si>
  <si>
    <t>ssb4ayu49z603yg4</t>
  </si>
  <si>
    <t>y4n502sdnwyf2nzp</t>
  </si>
  <si>
    <t>j82kk4nptev6s6q5</t>
  </si>
  <si>
    <t>c0410qtyqty6rq76</t>
  </si>
  <si>
    <t>v7voyrk9s14a2c4n</t>
  </si>
  <si>
    <t>q81yusrj9pkr5dct</t>
  </si>
  <si>
    <t>7xbfqgg8cvruol6m</t>
  </si>
  <si>
    <t>wtpz5txgs7qgzwvs</t>
  </si>
  <si>
    <t>16ctskzyu1u2t8x6</t>
  </si>
  <si>
    <t>cnk5et8p5njs19rw</t>
  </si>
  <si>
    <t>mdhj8iy4w2hmdj1k</t>
  </si>
  <si>
    <t>yfmck5wd3ia7tt5w</t>
  </si>
  <si>
    <t>lwojri67zf7ubvb0</t>
  </si>
  <si>
    <t>gargpwsi1vga694d</t>
  </si>
  <si>
    <t>p3dfz59d2757n7z1</t>
  </si>
  <si>
    <t>xt49f9gogwhhnv3q</t>
  </si>
  <si>
    <t>atggzmx8c3oay3cw</t>
  </si>
  <si>
    <t>ri93fahz2lshtkq3</t>
  </si>
  <si>
    <t>735djm8ogoxeq6vt</t>
  </si>
  <si>
    <t>l8hb27vgo1a4yqvx</t>
  </si>
  <si>
    <t>ffqyhkrqwumvn5fa</t>
  </si>
  <si>
    <t>cf1e7bqe4g7e7duk</t>
  </si>
  <si>
    <t>k9cuopej9bpiz9ka</t>
  </si>
  <si>
    <t>zvg0xeeeedbatlip</t>
  </si>
  <si>
    <t>zqe96pv884fyzv4b</t>
  </si>
  <si>
    <t>mtdbsfsybnhs84sj</t>
  </si>
  <si>
    <t>45d82nn4k7h1a4jg</t>
  </si>
  <si>
    <t>aqcnhslhckb7zlj0</t>
  </si>
  <si>
    <t>n0cmuw98s97xk7la</t>
  </si>
  <si>
    <t>q5ul71ool0vr7p07</t>
  </si>
  <si>
    <t>gdxs9nuqnbc2khsv</t>
  </si>
  <si>
    <t>hbt5ymx2z50p740b</t>
  </si>
  <si>
    <t>zg2uxowxlrq6g4ym</t>
  </si>
  <si>
    <t>kpfvlhdrs19x5jnh</t>
  </si>
  <si>
    <t>5hk9npm546m3il5e</t>
  </si>
  <si>
    <t>n2rxauvwtiucg1jk</t>
  </si>
  <si>
    <t>n1udad2u1rq8zg8a</t>
  </si>
  <si>
    <t>2ebxg3g38lbhqytd</t>
  </si>
  <si>
    <t>a1lym6uarthfxtu9</t>
  </si>
  <si>
    <t>dbzrci574ube8ywt</t>
  </si>
  <si>
    <t>v9h4z08w527q1jjf</t>
  </si>
  <si>
    <t>wdiinb2efmfaltkf</t>
  </si>
  <si>
    <t>pypzd6u4q8mjvp8l</t>
  </si>
  <si>
    <t>puryrfn8za9vstiz</t>
  </si>
  <si>
    <t>3pix62uvfuwd5gyy</t>
  </si>
  <si>
    <t>pn7vlrd258649oy2</t>
  </si>
  <si>
    <t>js1cwcsb9h3xdjin</t>
  </si>
  <si>
    <t>wvpbmy3pvmp8hn6m</t>
  </si>
  <si>
    <t>fs42epmtxhvt4bk0</t>
  </si>
  <si>
    <t>gbpv8i3qi6qcalms</t>
  </si>
  <si>
    <t>s43oor32749ndtnm</t>
  </si>
  <si>
    <t>xktvtc1ck52j3dn5</t>
  </si>
  <si>
    <t>5lnatpylewjdp0jf</t>
  </si>
  <si>
    <t>ewxqnvyauv4a39y0</t>
  </si>
  <si>
    <t>5b52qso9m0ln9yss</t>
  </si>
  <si>
    <t>4zba6p4h33hhebqh</t>
  </si>
  <si>
    <t>pgd3t8i4w9v1yzg9</t>
  </si>
  <si>
    <t>xufa2bs0baobvkym</t>
  </si>
  <si>
    <t>ielpap4x02n1ko9x</t>
  </si>
  <si>
    <t>iaip6dsdi758ddu7</t>
  </si>
  <si>
    <t>ssl58zrywiensoz4</t>
  </si>
  <si>
    <t>9eq8ta3hsgpi7tdw</t>
  </si>
  <si>
    <t>ymmw9w51tnd420ng</t>
  </si>
  <si>
    <t>fzm0pfs4tukz7004</t>
  </si>
  <si>
    <t>59z04ph369bxvvy9</t>
  </si>
  <si>
    <t>pgwieiuai0w5zf87</t>
  </si>
  <si>
    <t>c0ujnowp63tlj558</t>
  </si>
  <si>
    <t>xcymy7hvj8e8vgbu</t>
  </si>
  <si>
    <t>yy58u7smlwhiz88m</t>
  </si>
  <si>
    <t>dwi1p0q4yubpmhwr</t>
  </si>
  <si>
    <t>psnpqkctuu8pe4fm</t>
  </si>
  <si>
    <t>ii1phxuzb10mvwt6</t>
  </si>
  <si>
    <t>9nfo43672oeszs1p</t>
  </si>
  <si>
    <t>6kaj4ey167mcixfo</t>
  </si>
  <si>
    <t>4c0v95js57xnp531</t>
  </si>
  <si>
    <t>0do50xemsud3bs3z</t>
  </si>
  <si>
    <t>5dxsuezm15oj4igj</t>
  </si>
  <si>
    <t>5f3ixkfmv5o74yjt</t>
  </si>
  <si>
    <t>d4izdw0d6owc8sxm</t>
  </si>
  <si>
    <t>vtkryesj2ip3oc7z</t>
  </si>
  <si>
    <t>dullyvfh9zvgj1q7</t>
  </si>
  <si>
    <t>lal2pqbpe2mw71tk</t>
  </si>
  <si>
    <t>bmjbv88s3x3gjell</t>
  </si>
  <si>
    <t>twnfsna9dwec6dbc</t>
  </si>
  <si>
    <t>hxsbsj6n2tbg75q3</t>
  </si>
  <si>
    <t>yljo7kvhrg5158rb</t>
  </si>
  <si>
    <t>ny9hsa32r67xwy9f</t>
  </si>
  <si>
    <t>gr367hdobe12b93n</t>
  </si>
  <si>
    <t>v9f1ybxnk3ofd98d</t>
  </si>
  <si>
    <t>8je7bkhpgc8xgcci</t>
  </si>
  <si>
    <t>s9v0zdh0gzqmc2b1</t>
  </si>
  <si>
    <t>5hy9ebb96i82mvf4</t>
  </si>
  <si>
    <t>zumf4rx1rcrhwwor</t>
  </si>
  <si>
    <t>0lxeq3s84020skz3</t>
  </si>
  <si>
    <t>kyibr5heqwzi502c</t>
  </si>
  <si>
    <t>jhn7aumbxuajxce6</t>
  </si>
  <si>
    <t>5lc1p0d0i9jkd5so</t>
  </si>
  <si>
    <t>lplo94p51lf31tkk</t>
  </si>
  <si>
    <t>yosfcgamjy684xzz</t>
  </si>
  <si>
    <t>n73i0rlg7xyypwj2</t>
  </si>
  <si>
    <t>wxu2amgw70nnyhpz</t>
  </si>
  <si>
    <t>zp37zhau2xdqmocn</t>
  </si>
  <si>
    <t>qjkbubgbs9uygxat</t>
  </si>
  <si>
    <t>eb049n4lgym4g70g</t>
  </si>
  <si>
    <t>d4q55cc7rufx64sv</t>
  </si>
  <si>
    <t>ymm4t65jlllliuay</t>
  </si>
  <si>
    <t>3pewew21big1rtrf</t>
  </si>
  <si>
    <t>c04hpel32u58ge9h</t>
  </si>
  <si>
    <t>jp2i18m9dhh2kz6h</t>
  </si>
  <si>
    <t>eoi7tuwz9etjfpkr</t>
  </si>
  <si>
    <t>5eltzx8e5yut4bm1</t>
  </si>
  <si>
    <t>cnwcg6465t82x2tx</t>
  </si>
  <si>
    <t>hqlgpq8tcm4d4msu</t>
  </si>
  <si>
    <t>ld89oz6mnklwfnui</t>
  </si>
  <si>
    <t>41rqtz6bnunbhiab</t>
  </si>
  <si>
    <t>d16y4yrhpfgcd6ow</t>
  </si>
  <si>
    <t>kgmvf7zxcomszu75</t>
  </si>
  <si>
    <t>exej6ekmkoxf00zb</t>
  </si>
  <si>
    <t>9juxzn2k7kt9prfm</t>
  </si>
  <si>
    <t>owxt7g3vio1cqsmu</t>
  </si>
  <si>
    <t>8mzgngf2jta885gv</t>
  </si>
  <si>
    <t>wsb5uxom2c57n64r</t>
  </si>
  <si>
    <t>nx40s5g4hle838r2</t>
  </si>
  <si>
    <t>lgavwljpy351sc61</t>
  </si>
  <si>
    <t>hq9x0s78trj9wvjk</t>
  </si>
  <si>
    <t>0cjk84n2r50yi29p</t>
  </si>
  <si>
    <t>5n7e2pekky8hkz7c</t>
  </si>
  <si>
    <t>enn7vlfzq1wjnkwb</t>
  </si>
  <si>
    <t>anay34ifpsckpvrl</t>
  </si>
  <si>
    <t>6d63h4oz65des1m5</t>
  </si>
  <si>
    <t>4rbxnh59kb0iteea</t>
  </si>
  <si>
    <t>g2lujxul8emdxqup</t>
  </si>
  <si>
    <t>m882hiqfntqup7f7</t>
  </si>
  <si>
    <t>93sxcn1g8rn0hryq</t>
  </si>
  <si>
    <t>4l7hwttugqtbkcq4</t>
  </si>
  <si>
    <t>o3rbenze8f0x7m36</t>
  </si>
  <si>
    <t>q72dxlsykf7ycpp0</t>
  </si>
  <si>
    <t>omxfp003y7b82g92</t>
  </si>
  <si>
    <t>drey8jjks5zpfa9i</t>
  </si>
  <si>
    <t>gqyqmr6ab4aemev2</t>
  </si>
  <si>
    <t>mglz4iee53ougnsb</t>
  </si>
  <si>
    <t>np6k4mtsvy4oecnr</t>
  </si>
  <si>
    <t>6xphsunmsd8bjom5</t>
  </si>
  <si>
    <t>ruu0ajwsxwp69kob</t>
  </si>
  <si>
    <t>qmxexx8tdld60zkm</t>
  </si>
  <si>
    <t>dsg0onsgdps4lv6z</t>
  </si>
  <si>
    <t>hlzsf4igz4b2fz5l</t>
  </si>
  <si>
    <t>fzqcg4evu1rcgj2c</t>
  </si>
  <si>
    <t>h9w5l1octxgvv6pb</t>
  </si>
  <si>
    <t>opiw0ow5tfa8cvqa</t>
  </si>
  <si>
    <t>czfaw2i1nsxozld9</t>
  </si>
  <si>
    <t>ajuckp5p2acvox6i</t>
  </si>
  <si>
    <t>4alnhpufpiwp580u</t>
  </si>
  <si>
    <t>usn67n9zh4ou8d5h</t>
  </si>
  <si>
    <t>iguu8a5of16cbui5</t>
  </si>
  <si>
    <t>p54dypjrj09lnkl1</t>
  </si>
  <si>
    <t>a1137w2ib3dgg1sy</t>
  </si>
  <si>
    <t>bq8ctmmjzd33rh6l</t>
  </si>
  <si>
    <t>pz36y00qt7q8eb30</t>
  </si>
  <si>
    <t>2429mhokm7q0k5wb</t>
  </si>
  <si>
    <t>8t2xelkacympw0ri</t>
  </si>
  <si>
    <t>kobabfohaf5833m4</t>
  </si>
  <si>
    <t>w17azwgs5k5136xv</t>
  </si>
  <si>
    <t>Away_City</t>
  </si>
  <si>
    <t>Home_City</t>
  </si>
  <si>
    <t>Away_Code</t>
  </si>
  <si>
    <t>Home_Code</t>
  </si>
  <si>
    <t>TOTAL GAMES</t>
  </si>
  <si>
    <t>N</t>
  </si>
  <si>
    <t>S</t>
  </si>
  <si>
    <t>%N</t>
  </si>
  <si>
    <t>%S</t>
  </si>
  <si>
    <t>X</t>
  </si>
  <si>
    <t>SCHEDULE</t>
  </si>
  <si>
    <t xml:space="preserve"> </t>
  </si>
  <si>
    <t>-</t>
  </si>
  <si>
    <t>June</t>
  </si>
  <si>
    <t>May</t>
  </si>
  <si>
    <t>Home</t>
  </si>
  <si>
    <t>Away</t>
  </si>
  <si>
    <t>July</t>
  </si>
  <si>
    <t>GJJ (Incl. every date prior to this)</t>
  </si>
  <si>
    <t>(First potential GJJ Home Date)</t>
  </si>
  <si>
    <t>BIL, MIS</t>
  </si>
  <si>
    <t>NoCo, RMV</t>
  </si>
  <si>
    <t>Key Dates Summary</t>
  </si>
  <si>
    <t>BOI, GJJ, GFV, IDF, NoCo, RMV</t>
  </si>
  <si>
    <t>Jun 16, Jul 4</t>
  </si>
  <si>
    <t>Jun 14-16, Jun 28-29, Aug 27-29</t>
  </si>
  <si>
    <t>Jun 16, Jul 4, Sep 2</t>
  </si>
  <si>
    <t>Not before Jun 4 nor FRI/SAT/SUN after Aug 22</t>
  </si>
  <si>
    <t>May 23-27, Jun 26-Jul 1, Aug 6-12, Sep 4-8</t>
  </si>
  <si>
    <t>Jun 22, Jul 16-20, Aug 16-25</t>
  </si>
  <si>
    <t>Aug 14-18</t>
  </si>
  <si>
    <t>May 25-27, Jun 1, Aug 8-11, Aug 23-25, Aug 31</t>
  </si>
  <si>
    <t>May 21-26</t>
  </si>
  <si>
    <t>Jun 8, Jul 4, Jul 24</t>
  </si>
  <si>
    <t>May 21-26, Avoid Home in July (Rains)</t>
  </si>
  <si>
    <t>BOI, GRR</t>
  </si>
  <si>
    <t>BIL, NoCo, RMV</t>
  </si>
  <si>
    <t>BIL, NoCo, RMV, MIS</t>
  </si>
  <si>
    <t>BOI, NoCo, MIS</t>
  </si>
  <si>
    <t>BOI, MIS</t>
  </si>
  <si>
    <t>September</t>
  </si>
  <si>
    <t>MIS, OGD</t>
  </si>
  <si>
    <t>BOI, (GJJ Away on FRI/SAT/SUN after this date)</t>
  </si>
  <si>
    <t>Preference (Wants to be Home)</t>
  </si>
  <si>
    <t>Blackouts (Wants to be Away)</t>
  </si>
  <si>
    <t>August</t>
  </si>
  <si>
    <t>Jul 4, More games in Jun/Aug, End Season at Home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</si>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</sst>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m/d/yy\ h:mm;@"/>
    <numFmt numFmtId="166" formatCode="[$-409]mmm\ d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1C1917"/>
      <name val="Helvetica Neue"/>
      <family val="2"/>
    </font>
    <font>
      <sz val="14"/>
      <color rgb="FF1C1917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A68464"/>
        <bgColor indexed="64"/>
      </patternFill>
    </fill>
    <fill>
      <patternFill patternType="solid">
        <fgColor rgb="FF608596"/>
        <bgColor indexed="64"/>
      </patternFill>
    </fill>
    <fill>
      <patternFill patternType="solid">
        <fgColor rgb="FF0C224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0" fontId="0" fillId="0" borderId="0" xfId="0" applyNumberFormat="1" applyAlignment="1">
      <alignment horizontal="center"/>
    </xf>
    <xf numFmtId="9" fontId="0" fillId="0" borderId="1" xfId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20" fontId="0" fillId="0" borderId="0" xfId="0" applyNumberFormat="1"/>
    <xf numFmtId="0" fontId="3" fillId="4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;@"/>
    </dxf>
  </dxfs>
  <tableStyles count="0" defaultTableStyle="TableStyleMedium2" defaultPivotStyle="PivotStyleLight16"/>
  <colors>
    <mruColors>
      <color rgb="FF608596"/>
      <color rgb="FF0C2243"/>
      <color rgb="FFA68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9F671-85FA-EA4A-B6AE-37D0CC079971}" name="Events" displayName="Events" ref="A1:H481" totalsRowShown="0">
  <autoFilter ref="A1:H481" xr:uid="{84EFE1E2-19B0-844F-90CA-1020BC01DCF9}"/>
  <tableColumns count="8">
    <tableColumn id="1" xr3:uid="{D52CCE11-8A3F-D049-8660-D6EEB8625604}" name="Event ID"/>
    <tableColumn id="7" xr3:uid="{9C9EA0B8-F026-5143-AAD0-0A1F4DDF3CA5}" name="Game Date" dataDxfId="13"/>
    <tableColumn id="5" xr3:uid="{29C9C3C6-4AD5-DB42-9D6F-9E8ED5614CA1}" name="Away Team"/>
    <tableColumn id="6" xr3:uid="{D9855554-54E3-3545-8BFB-92F896596FA5}" name="Home Team"/>
    <tableColumn id="2" xr3:uid="{3D1E36B4-7848-9F4F-B310-090A550A8462}" name="Away_City" dataDxfId="12">
      <calculatedColumnFormula>VLOOKUP(C2,$J$1:$L$10,2,FALSE)</calculatedColumnFormula>
    </tableColumn>
    <tableColumn id="3" xr3:uid="{3297C366-2B5B-7944-ABCF-CC03431B1B30}" name="Home_City" dataDxfId="11">
      <calculatedColumnFormula>VLOOKUP(D2,$J$1:$L$10,2,FALSE)</calculatedColumnFormula>
    </tableColumn>
    <tableColumn id="4" xr3:uid="{4098AA0E-1252-274F-AC76-8CE5DDAC9406}" name="Away_Code" dataDxfId="10">
      <calculatedColumnFormula>VLOOKUP(C2,$J$1:$L$10,3,FALSE)</calculatedColumnFormula>
    </tableColumn>
    <tableColumn id="8" xr3:uid="{E72C8B30-3E07-F640-AC62-F359D7C755B1}" name="Home_Code" dataDxfId="9">
      <calculatedColumnFormula>VLOOKUP(D2,$J$1:$L$10,3,FALSE)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B4AC6-E389-D041-8B3D-2E756D076820}" name="Table2" displayName="Table2" ref="B2:D12" totalsRowShown="0" headerRowDxfId="8" headerRowBorderDxfId="7" tableBorderDxfId="6" totalsRowBorderDxfId="5">
  <tableColumns count="3">
    <tableColumn id="1" xr3:uid="{44F2992F-7735-E941-8E9E-BD1360E1A98C}" name="SCHEDULE" dataDxfId="4"/>
    <tableColumn id="2" xr3:uid="{814B347B-F1FA-854B-964E-0A0F29461231}" name="Preference (Wants to be Home)" dataDxfId="3"/>
    <tableColumn id="3" xr3:uid="{E6109CB4-1EE9-444D-AAE9-81984937B9DB}" name="Blackouts (Wants to be Away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3F99-D4F0-F24E-8625-823E0CC63DE4}">
  <dimension ref="B2:AA55"/>
  <sheetViews>
    <sheetView tabSelected="1" topLeftCell="A27" zoomScale="108" workbookViewId="0">
      <selection activeCell="I53" sqref="I53"/>
    </sheetView>
  </sheetViews>
  <sheetFormatPr baseColWidth="10" defaultRowHeight="16" x14ac:dyDescent="0.2"/>
  <cols>
    <col min="2" max="2" width="14.83203125" customWidth="1"/>
    <col min="3" max="12" width="5.83203125" customWidth="1"/>
    <col min="15" max="15" width="14.83203125" customWidth="1"/>
    <col min="16" max="25" width="7.83203125" customWidth="1"/>
  </cols>
  <sheetData>
    <row r="2" spans="2:25" x14ac:dyDescent="0.2">
      <c r="B2" s="2" t="s">
        <v>19</v>
      </c>
      <c r="C2" s="2" t="s">
        <v>7</v>
      </c>
      <c r="D2" s="2" t="s">
        <v>8</v>
      </c>
      <c r="E2" s="2" t="s">
        <v>14</v>
      </c>
      <c r="F2" s="2" t="s">
        <v>15</v>
      </c>
      <c r="G2" s="2" t="s">
        <v>16</v>
      </c>
      <c r="H2" s="2" t="s">
        <v>18</v>
      </c>
      <c r="I2" s="2" t="s">
        <v>9</v>
      </c>
      <c r="J2" s="2" t="s">
        <v>12</v>
      </c>
      <c r="K2" s="2" t="s">
        <v>10</v>
      </c>
      <c r="L2" s="2" t="s">
        <v>17</v>
      </c>
      <c r="O2" s="2" t="s">
        <v>20</v>
      </c>
      <c r="P2" s="2" t="s">
        <v>7</v>
      </c>
      <c r="Q2" s="2" t="s">
        <v>8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9</v>
      </c>
      <c r="W2" s="2" t="s">
        <v>12</v>
      </c>
      <c r="X2" s="2" t="s">
        <v>10</v>
      </c>
      <c r="Y2" s="2" t="s">
        <v>17</v>
      </c>
    </row>
    <row r="3" spans="2:25" x14ac:dyDescent="0.2">
      <c r="B3" s="2" t="s">
        <v>0</v>
      </c>
      <c r="C3" s="2" t="s">
        <v>526</v>
      </c>
      <c r="D3" s="2">
        <v>599</v>
      </c>
      <c r="E3" s="2">
        <v>420</v>
      </c>
      <c r="F3" s="2">
        <v>662</v>
      </c>
      <c r="G3" s="2">
        <v>218</v>
      </c>
      <c r="H3" s="2">
        <v>340</v>
      </c>
      <c r="I3" s="2">
        <v>345</v>
      </c>
      <c r="J3" s="2">
        <v>508</v>
      </c>
      <c r="K3" s="2">
        <v>515</v>
      </c>
      <c r="L3" s="2">
        <v>621</v>
      </c>
      <c r="O3" s="2" t="s">
        <v>0</v>
      </c>
      <c r="P3" s="3">
        <v>0</v>
      </c>
      <c r="Q3" s="3">
        <v>0.40625</v>
      </c>
      <c r="R3" s="3">
        <v>0.2986111111111111</v>
      </c>
      <c r="S3" s="3">
        <v>0.4375</v>
      </c>
      <c r="T3" s="3">
        <v>0.15625</v>
      </c>
      <c r="U3" s="3">
        <v>0.23611111111111113</v>
      </c>
      <c r="V3" s="3">
        <v>0.22569444444444445</v>
      </c>
      <c r="W3" s="3">
        <v>0.32291666666666669</v>
      </c>
      <c r="X3" s="3">
        <v>0.33680555555555558</v>
      </c>
      <c r="Y3" s="3">
        <v>0.40277777777777773</v>
      </c>
    </row>
    <row r="4" spans="2:25" x14ac:dyDescent="0.2">
      <c r="B4" s="2" t="s">
        <v>1</v>
      </c>
      <c r="C4" s="2">
        <v>620</v>
      </c>
      <c r="D4" s="2" t="s">
        <v>526</v>
      </c>
      <c r="E4" s="2">
        <v>482</v>
      </c>
      <c r="F4" s="2">
        <v>628</v>
      </c>
      <c r="G4" s="2">
        <v>585</v>
      </c>
      <c r="H4" s="2">
        <v>264</v>
      </c>
      <c r="I4" s="2">
        <v>359</v>
      </c>
      <c r="J4" s="2">
        <v>778</v>
      </c>
      <c r="K4" s="2">
        <v>312</v>
      </c>
      <c r="L4" s="2">
        <v>891</v>
      </c>
      <c r="O4" s="2" t="s">
        <v>1</v>
      </c>
      <c r="P4" s="3">
        <v>0.39930555555555558</v>
      </c>
      <c r="Q4" s="3">
        <v>0</v>
      </c>
      <c r="R4" s="3">
        <v>0.39583333333333331</v>
      </c>
      <c r="S4" s="3">
        <v>0.3923611111111111</v>
      </c>
      <c r="T4" s="3">
        <v>0.38194444444444442</v>
      </c>
      <c r="U4" s="3">
        <v>0.17708333333333334</v>
      </c>
      <c r="V4" s="3">
        <v>0.2986111111111111</v>
      </c>
      <c r="W4" s="3">
        <v>0.4861111111111111</v>
      </c>
      <c r="X4" s="3">
        <v>0.19444444444444445</v>
      </c>
      <c r="Y4" s="3">
        <v>0.55902777777777779</v>
      </c>
    </row>
    <row r="5" spans="2:25" x14ac:dyDescent="0.2">
      <c r="B5" s="2" t="s">
        <v>11</v>
      </c>
      <c r="C5" s="2">
        <v>420</v>
      </c>
      <c r="D5" s="2">
        <v>482</v>
      </c>
      <c r="E5" s="2" t="s">
        <v>526</v>
      </c>
      <c r="F5" s="2">
        <v>919</v>
      </c>
      <c r="G5" s="2">
        <v>225</v>
      </c>
      <c r="H5" s="2">
        <v>426</v>
      </c>
      <c r="I5" s="2">
        <v>126</v>
      </c>
      <c r="J5" s="2">
        <v>948</v>
      </c>
      <c r="K5" s="2">
        <v>603</v>
      </c>
      <c r="L5" s="2">
        <v>1061</v>
      </c>
      <c r="O5" s="2" t="s">
        <v>11</v>
      </c>
      <c r="P5" s="3">
        <v>0.29166666666666669</v>
      </c>
      <c r="Q5" s="3">
        <v>0.39583333333333331</v>
      </c>
      <c r="R5" s="3">
        <v>0</v>
      </c>
      <c r="S5" s="3">
        <v>0.58333333333333337</v>
      </c>
      <c r="T5" s="3">
        <v>0.15625</v>
      </c>
      <c r="U5" s="3">
        <v>0.28125</v>
      </c>
      <c r="V5" s="3">
        <v>9.7222222222222224E-2</v>
      </c>
      <c r="W5" s="3">
        <v>0.59375</v>
      </c>
      <c r="X5" s="3">
        <v>0.38194444444444442</v>
      </c>
      <c r="Y5" s="3">
        <v>0.67361111111111116</v>
      </c>
    </row>
    <row r="6" spans="2:25" x14ac:dyDescent="0.2">
      <c r="B6" s="2" t="s">
        <v>2</v>
      </c>
      <c r="C6" s="2">
        <v>663</v>
      </c>
      <c r="D6" s="2">
        <v>627</v>
      </c>
      <c r="E6" s="2">
        <v>920</v>
      </c>
      <c r="F6" s="2" t="s">
        <v>526</v>
      </c>
      <c r="G6" s="2">
        <v>855</v>
      </c>
      <c r="H6" s="2">
        <v>495</v>
      </c>
      <c r="I6" s="2">
        <v>807</v>
      </c>
      <c r="J6" s="2">
        <v>298</v>
      </c>
      <c r="K6" s="2">
        <v>319</v>
      </c>
      <c r="L6" s="2">
        <v>311</v>
      </c>
      <c r="O6" s="2" t="s">
        <v>2</v>
      </c>
      <c r="P6" s="3">
        <v>0.4236111111111111</v>
      </c>
      <c r="Q6" s="3">
        <v>0.3923611111111111</v>
      </c>
      <c r="R6" s="3">
        <v>0.58680555555555558</v>
      </c>
      <c r="S6" s="3">
        <v>0</v>
      </c>
      <c r="T6" s="3">
        <v>0.52777777777777779</v>
      </c>
      <c r="U6" s="3">
        <v>0.30902777777777779</v>
      </c>
      <c r="V6" s="3">
        <v>0.48958333333333331</v>
      </c>
      <c r="W6" s="3">
        <v>0.20833333333333334</v>
      </c>
      <c r="X6" s="3">
        <v>0.20833333333333334</v>
      </c>
      <c r="Y6" s="3">
        <v>0.21527777777777779</v>
      </c>
    </row>
    <row r="7" spans="2:25" x14ac:dyDescent="0.2">
      <c r="B7" s="2" t="s">
        <v>3</v>
      </c>
      <c r="C7" s="2">
        <v>218</v>
      </c>
      <c r="D7" s="2">
        <v>584</v>
      </c>
      <c r="E7" s="2">
        <v>225</v>
      </c>
      <c r="F7" s="2">
        <v>855</v>
      </c>
      <c r="G7" s="2" t="s">
        <v>526</v>
      </c>
      <c r="H7" s="2">
        <v>362</v>
      </c>
      <c r="I7" s="2">
        <v>169</v>
      </c>
      <c r="J7" s="2">
        <v>726</v>
      </c>
      <c r="K7" s="2">
        <v>539</v>
      </c>
      <c r="L7" s="2">
        <v>839</v>
      </c>
      <c r="O7" s="2" t="s">
        <v>3</v>
      </c>
      <c r="P7" s="3">
        <v>0.15277777777777776</v>
      </c>
      <c r="Q7" s="3">
        <v>0.37847222222222227</v>
      </c>
      <c r="R7" s="3">
        <v>0.15625</v>
      </c>
      <c r="S7" s="3">
        <v>0.53472222222222221</v>
      </c>
      <c r="T7" s="3">
        <v>0</v>
      </c>
      <c r="U7" s="3">
        <v>0.23263888888888887</v>
      </c>
      <c r="V7" s="3">
        <v>0.11805555555555557</v>
      </c>
      <c r="W7" s="3">
        <v>0.45833333333333331</v>
      </c>
      <c r="X7" s="3">
        <v>0.33333333333333331</v>
      </c>
      <c r="Y7" s="3">
        <v>0.53125</v>
      </c>
    </row>
    <row r="8" spans="2:25" x14ac:dyDescent="0.2">
      <c r="B8" s="2" t="s">
        <v>4</v>
      </c>
      <c r="C8" s="2">
        <v>338</v>
      </c>
      <c r="D8" s="2">
        <v>264</v>
      </c>
      <c r="E8" s="2">
        <v>427</v>
      </c>
      <c r="F8" s="2">
        <v>496</v>
      </c>
      <c r="G8" s="2">
        <v>362</v>
      </c>
      <c r="H8" s="2" t="s">
        <v>526</v>
      </c>
      <c r="I8" s="2">
        <v>314</v>
      </c>
      <c r="J8" s="2">
        <v>548</v>
      </c>
      <c r="K8" s="2">
        <v>180</v>
      </c>
      <c r="L8" s="2">
        <v>661</v>
      </c>
      <c r="O8" s="2" t="s">
        <v>4</v>
      </c>
      <c r="P8" s="3">
        <v>0.23611111111111113</v>
      </c>
      <c r="Q8" s="3">
        <v>0.18055555555555555</v>
      </c>
      <c r="R8" s="3">
        <v>0.28125</v>
      </c>
      <c r="S8" s="3">
        <v>0.3125</v>
      </c>
      <c r="T8" s="3">
        <v>0.23958333333333334</v>
      </c>
      <c r="U8" s="3">
        <v>0</v>
      </c>
      <c r="V8" s="3">
        <v>0.19791666666666666</v>
      </c>
      <c r="W8" s="3">
        <v>0.36805555555555558</v>
      </c>
      <c r="X8" s="3">
        <v>0.1111111111111111</v>
      </c>
      <c r="Y8" s="3">
        <v>0.44097222222222227</v>
      </c>
    </row>
    <row r="9" spans="2:25" x14ac:dyDescent="0.2">
      <c r="B9" s="2" t="s">
        <v>5</v>
      </c>
      <c r="C9" s="2">
        <v>345</v>
      </c>
      <c r="D9" s="2">
        <v>359</v>
      </c>
      <c r="E9" s="2">
        <v>125</v>
      </c>
      <c r="F9" s="2">
        <v>806</v>
      </c>
      <c r="G9" s="2">
        <v>169</v>
      </c>
      <c r="H9" s="2">
        <v>313</v>
      </c>
      <c r="I9" s="2" t="s">
        <v>526</v>
      </c>
      <c r="J9" s="2">
        <v>852</v>
      </c>
      <c r="K9" s="2">
        <v>490</v>
      </c>
      <c r="L9" s="2">
        <v>965</v>
      </c>
      <c r="O9" s="2" t="s">
        <v>5</v>
      </c>
      <c r="P9" s="3">
        <v>0.22083333333333333</v>
      </c>
      <c r="Q9" s="3">
        <v>0.30555555555555552</v>
      </c>
      <c r="R9" s="3">
        <v>9.7222222222222224E-2</v>
      </c>
      <c r="S9" s="3">
        <v>0.50347222222222221</v>
      </c>
      <c r="T9" s="3">
        <v>0.11805555555555557</v>
      </c>
      <c r="U9" s="3">
        <v>0.20138888888888887</v>
      </c>
      <c r="V9" s="3">
        <v>0</v>
      </c>
      <c r="W9" s="3">
        <v>0.52430555555555558</v>
      </c>
      <c r="X9" s="3">
        <v>0.30208333333333331</v>
      </c>
      <c r="Y9" s="3">
        <v>0.59722222222222221</v>
      </c>
    </row>
    <row r="10" spans="2:25" x14ac:dyDescent="0.2">
      <c r="B10" s="2" t="s">
        <v>12</v>
      </c>
      <c r="C10" s="2">
        <v>507</v>
      </c>
      <c r="D10" s="2">
        <v>775</v>
      </c>
      <c r="E10" s="2">
        <v>947</v>
      </c>
      <c r="F10" s="2">
        <v>298</v>
      </c>
      <c r="G10" s="2">
        <v>725</v>
      </c>
      <c r="H10" s="2">
        <v>546</v>
      </c>
      <c r="I10" s="2">
        <v>851</v>
      </c>
      <c r="J10" s="2" t="s">
        <v>526</v>
      </c>
      <c r="K10" s="2">
        <v>467</v>
      </c>
      <c r="L10" s="2">
        <v>126</v>
      </c>
      <c r="O10" s="2" t="s">
        <v>12</v>
      </c>
      <c r="P10" s="3">
        <v>0.31944444444444448</v>
      </c>
      <c r="Q10" s="3">
        <v>0.4826388888888889</v>
      </c>
      <c r="R10" s="3">
        <v>0.61805555555555558</v>
      </c>
      <c r="S10" s="3">
        <v>0.21180555555555555</v>
      </c>
      <c r="T10" s="3">
        <v>0.46527777777777773</v>
      </c>
      <c r="U10" s="3">
        <v>0.36805555555555558</v>
      </c>
      <c r="V10" s="3">
        <v>0.52430555555555558</v>
      </c>
      <c r="W10" s="3">
        <v>0</v>
      </c>
      <c r="X10" s="3">
        <v>0.30208333333333331</v>
      </c>
      <c r="Y10" s="3">
        <v>8.6805555555555566E-2</v>
      </c>
    </row>
    <row r="11" spans="2:25" x14ac:dyDescent="0.2">
      <c r="B11" s="2" t="s">
        <v>6</v>
      </c>
      <c r="C11" s="2">
        <v>516</v>
      </c>
      <c r="D11" s="2">
        <v>311</v>
      </c>
      <c r="E11" s="2">
        <v>604</v>
      </c>
      <c r="F11" s="2">
        <v>319</v>
      </c>
      <c r="G11" s="2">
        <v>539</v>
      </c>
      <c r="H11" s="2">
        <v>179</v>
      </c>
      <c r="I11" s="2">
        <v>491</v>
      </c>
      <c r="J11" s="2">
        <v>469</v>
      </c>
      <c r="K11" s="2" t="s">
        <v>526</v>
      </c>
      <c r="L11" s="2">
        <v>583</v>
      </c>
      <c r="O11" s="2" t="s">
        <v>6</v>
      </c>
      <c r="P11" s="3">
        <v>0.34375</v>
      </c>
      <c r="Q11" s="3">
        <v>0.19791666666666666</v>
      </c>
      <c r="R11" s="3">
        <v>0.3923611111111111</v>
      </c>
      <c r="S11" s="3">
        <v>0.20833333333333334</v>
      </c>
      <c r="T11" s="3">
        <v>0.34027777777777773</v>
      </c>
      <c r="U11" s="3">
        <v>0.1111111111111111</v>
      </c>
      <c r="V11" s="3">
        <v>0.30555555555555552</v>
      </c>
      <c r="W11" s="3">
        <v>0.30555555555555552</v>
      </c>
      <c r="X11" s="3">
        <v>0</v>
      </c>
      <c r="Y11" s="3">
        <v>0.38541666666666669</v>
      </c>
    </row>
    <row r="12" spans="2:25" x14ac:dyDescent="0.2">
      <c r="B12" s="2" t="s">
        <v>13</v>
      </c>
      <c r="C12" s="2">
        <v>621</v>
      </c>
      <c r="D12" s="2">
        <v>889</v>
      </c>
      <c r="E12" s="2">
        <v>1061</v>
      </c>
      <c r="F12" s="2">
        <v>310</v>
      </c>
      <c r="G12" s="2">
        <v>838</v>
      </c>
      <c r="H12" s="4">
        <v>659</v>
      </c>
      <c r="I12" s="2">
        <v>965</v>
      </c>
      <c r="J12" s="2">
        <v>125</v>
      </c>
      <c r="K12" s="2">
        <v>580</v>
      </c>
      <c r="L12" s="2" t="s">
        <v>526</v>
      </c>
      <c r="O12" s="2" t="s">
        <v>13</v>
      </c>
      <c r="P12" s="3">
        <v>0.38541666666666669</v>
      </c>
      <c r="Q12" s="3">
        <v>0.55208333333333337</v>
      </c>
      <c r="R12" s="3">
        <v>0.68055555555555547</v>
      </c>
      <c r="S12" s="3">
        <v>0.21875</v>
      </c>
      <c r="T12" s="3">
        <v>0.52777777777777779</v>
      </c>
      <c r="U12" s="3">
        <v>0.44097222222222227</v>
      </c>
      <c r="V12" s="3">
        <v>0.58680555555555558</v>
      </c>
      <c r="W12" s="3">
        <v>8.6805555555555566E-2</v>
      </c>
      <c r="X12" s="3">
        <v>0.36805555555555558</v>
      </c>
      <c r="Y12" s="3">
        <v>0</v>
      </c>
    </row>
    <row r="15" spans="2:25" ht="18" x14ac:dyDescent="0.2">
      <c r="B15" s="2" t="s">
        <v>21</v>
      </c>
      <c r="C15" s="2" t="s">
        <v>7</v>
      </c>
      <c r="D15" s="2" t="s">
        <v>8</v>
      </c>
      <c r="E15" s="2" t="s">
        <v>14</v>
      </c>
      <c r="F15" s="2" t="s">
        <v>15</v>
      </c>
      <c r="G15" s="2" t="s">
        <v>16</v>
      </c>
      <c r="H15" s="2" t="s">
        <v>18</v>
      </c>
      <c r="I15" s="2" t="s">
        <v>9</v>
      </c>
      <c r="J15" s="2" t="s">
        <v>12</v>
      </c>
      <c r="K15" s="2" t="s">
        <v>10</v>
      </c>
      <c r="L15" s="2" t="s">
        <v>17</v>
      </c>
      <c r="M15" s="2" t="s">
        <v>22</v>
      </c>
      <c r="O15" s="34" t="s">
        <v>20</v>
      </c>
      <c r="P15" s="34" t="s">
        <v>7</v>
      </c>
      <c r="Q15" s="34" t="s">
        <v>14</v>
      </c>
      <c r="R15" s="34" t="s">
        <v>16</v>
      </c>
      <c r="S15" s="34" t="s">
        <v>18</v>
      </c>
      <c r="T15" s="34" t="s">
        <v>9</v>
      </c>
      <c r="U15" s="34" t="s">
        <v>8</v>
      </c>
      <c r="V15" s="34" t="s">
        <v>15</v>
      </c>
      <c r="W15" s="34" t="s">
        <v>12</v>
      </c>
      <c r="X15" s="34" t="s">
        <v>10</v>
      </c>
      <c r="Y15" s="34" t="s">
        <v>17</v>
      </c>
    </row>
    <row r="16" spans="2:25" ht="18" x14ac:dyDescent="0.2">
      <c r="B16" s="2" t="s">
        <v>0</v>
      </c>
      <c r="C16" s="2" t="s">
        <v>564</v>
      </c>
      <c r="D16" s="2">
        <f>COUNTIFS(Events!$F$2:$F$481,$B16,Events!$G$2:$G$481,D$15)</f>
        <v>0</v>
      </c>
      <c r="E16" s="2">
        <f>COUNTIFS(Events!$F$2:$F$481,$B16,Events!$G$2:$G$481,E$15)</f>
        <v>15</v>
      </c>
      <c r="F16" s="2">
        <f>COUNTIFS(Events!$F$2:$F$481,$B16,Events!$G$2:$G$481,F$15)</f>
        <v>0</v>
      </c>
      <c r="G16" s="2">
        <f>COUNTIFS(Events!$F$2:$F$481,$B16,Events!$G$2:$G$481,G$15)</f>
        <v>9</v>
      </c>
      <c r="H16" s="2">
        <f>COUNTIFS(Events!$F$2:$F$481,$B16,Events!$G$2:$G$481,H$15)</f>
        <v>6</v>
      </c>
      <c r="I16" s="2">
        <f>COUNTIFS(Events!$F$2:$F$481,$B16,Events!$G$2:$G$481,I$15)</f>
        <v>9</v>
      </c>
      <c r="J16" s="2">
        <f>COUNTIFS(Events!$F$2:$F$481,$B16,Events!$G$2:$G$481,J$15)</f>
        <v>9</v>
      </c>
      <c r="K16" s="2">
        <f>COUNTIFS(Events!$F$2:$F$481,$B16,Events!$G$2:$G$481,K$15)</f>
        <v>0</v>
      </c>
      <c r="L16" s="2">
        <f>COUNTIFS(Events!$F$2:$F$481,$B16,Events!$G$2:$G$481,L$15)</f>
        <v>0</v>
      </c>
      <c r="M16" s="2">
        <f>SUM(C16:L16)</f>
        <v>48</v>
      </c>
      <c r="O16" s="35" t="s">
        <v>0</v>
      </c>
      <c r="P16" s="2">
        <v>0</v>
      </c>
      <c r="Q16" s="2">
        <v>7.17</v>
      </c>
      <c r="R16" s="2">
        <v>3.75</v>
      </c>
      <c r="S16" s="2">
        <v>5.67</v>
      </c>
      <c r="T16" s="2">
        <v>5.42</v>
      </c>
      <c r="U16" s="2">
        <v>9.75</v>
      </c>
      <c r="V16" s="2">
        <v>10.5</v>
      </c>
      <c r="W16" s="2">
        <v>7.75</v>
      </c>
      <c r="X16" s="2">
        <v>8.08</v>
      </c>
      <c r="Y16" s="2">
        <v>9.67</v>
      </c>
    </row>
    <row r="17" spans="2:25" ht="18" x14ac:dyDescent="0.2">
      <c r="B17" s="2" t="s">
        <v>1</v>
      </c>
      <c r="C17" s="2">
        <f>COUNTIFS(Events!$F$2:$F$481,$B17,Events!$G$2:$G$481,C$15)</f>
        <v>6</v>
      </c>
      <c r="D17" s="2" t="s">
        <v>564</v>
      </c>
      <c r="E17" s="2">
        <f>COUNTIFS(Events!$F$2:$F$481,$B17,Events!$G$2:$G$481,E$15)</f>
        <v>6</v>
      </c>
      <c r="F17" s="2">
        <f>COUNTIFS(Events!$F$2:$F$481,$B17,Events!$G$2:$G$481,F$15)</f>
        <v>6</v>
      </c>
      <c r="G17" s="2">
        <f>COUNTIFS(Events!$F$2:$F$481,$B17,Events!$G$2:$G$481,G$15)</f>
        <v>9</v>
      </c>
      <c r="H17" s="2">
        <f>COUNTIFS(Events!$F$2:$F$481,$B17,Events!$G$2:$G$481,H$15)</f>
        <v>6</v>
      </c>
      <c r="I17" s="2">
        <f>COUNTIFS(Events!$F$2:$F$481,$B17,Events!$G$2:$G$481,I$15)</f>
        <v>3</v>
      </c>
      <c r="J17" s="2">
        <f>COUNTIFS(Events!$F$2:$F$481,$B17,Events!$G$2:$G$481,J$15)</f>
        <v>0</v>
      </c>
      <c r="K17" s="2">
        <f>COUNTIFS(Events!$F$2:$F$481,$B17,Events!$G$2:$G$481,K$15)</f>
        <v>9</v>
      </c>
      <c r="L17" s="2">
        <f>COUNTIFS(Events!$F$2:$F$481,$B17,Events!$G$2:$G$481,L$15)</f>
        <v>3</v>
      </c>
      <c r="M17" s="2">
        <f t="shared" ref="M17:M25" si="0">SUM(C17:L17)</f>
        <v>48</v>
      </c>
      <c r="O17" s="35" t="s">
        <v>11</v>
      </c>
      <c r="P17" s="2">
        <v>7</v>
      </c>
      <c r="Q17" s="2">
        <v>0</v>
      </c>
      <c r="R17" s="2">
        <v>3.75</v>
      </c>
      <c r="S17" s="2">
        <v>6.75</v>
      </c>
      <c r="T17" s="2">
        <v>2.33</v>
      </c>
      <c r="U17" s="2">
        <v>9.5</v>
      </c>
      <c r="V17" s="2">
        <v>14</v>
      </c>
      <c r="W17" s="2">
        <v>14.25</v>
      </c>
      <c r="X17" s="2">
        <v>9.17</v>
      </c>
      <c r="Y17" s="2">
        <v>16.170000000000002</v>
      </c>
    </row>
    <row r="18" spans="2:25" ht="18" x14ac:dyDescent="0.2">
      <c r="B18" s="2" t="s">
        <v>11</v>
      </c>
      <c r="C18" s="2">
        <f>COUNTIFS(Events!$F$2:$F$481,$B18,Events!$G$2:$G$481,C$15)</f>
        <v>6</v>
      </c>
      <c r="D18" s="2">
        <f>COUNTIFS(Events!$F$2:$F$481,$B18,Events!$G$2:$G$481,D$15)</f>
        <v>3</v>
      </c>
      <c r="E18" s="2" t="s">
        <v>564</v>
      </c>
      <c r="F18" s="2">
        <f>COUNTIFS(Events!$F$2:$F$481,$B18,Events!$G$2:$G$481,F$15)</f>
        <v>0</v>
      </c>
      <c r="G18" s="2">
        <f>COUNTIFS(Events!$F$2:$F$481,$B18,Events!$G$2:$G$481,G$15)</f>
        <v>9</v>
      </c>
      <c r="H18" s="2">
        <f>COUNTIFS(Events!$F$2:$F$481,$B18,Events!$G$2:$G$481,H$15)</f>
        <v>9</v>
      </c>
      <c r="I18" s="2">
        <f>COUNTIFS(Events!$F$2:$F$481,$B18,Events!$G$2:$G$481,I$15)</f>
        <v>15</v>
      </c>
      <c r="J18" s="2">
        <f>COUNTIFS(Events!$F$2:$F$481,$B18,Events!$G$2:$G$481,J$15)</f>
        <v>0</v>
      </c>
      <c r="K18" s="2">
        <f>COUNTIFS(Events!$F$2:$F$481,$B18,Events!$G$2:$G$481,K$15)</f>
        <v>3</v>
      </c>
      <c r="L18" s="2">
        <f>COUNTIFS(Events!$F$2:$F$481,$B18,Events!$G$2:$G$481,L$15)</f>
        <v>3</v>
      </c>
      <c r="M18" s="2">
        <f t="shared" si="0"/>
        <v>48</v>
      </c>
      <c r="O18" s="35" t="s">
        <v>3</v>
      </c>
      <c r="P18" s="2">
        <v>3.67</v>
      </c>
      <c r="Q18" s="2">
        <v>3.75</v>
      </c>
      <c r="R18" s="2">
        <v>0</v>
      </c>
      <c r="S18" s="2">
        <v>5.58</v>
      </c>
      <c r="T18" s="2">
        <v>2.83</v>
      </c>
      <c r="U18" s="2">
        <v>9.08</v>
      </c>
      <c r="V18" s="2">
        <v>12.83</v>
      </c>
      <c r="W18" s="2">
        <v>11</v>
      </c>
      <c r="X18" s="2">
        <v>8</v>
      </c>
      <c r="Y18" s="2">
        <v>12.75</v>
      </c>
    </row>
    <row r="19" spans="2:25" ht="18" x14ac:dyDescent="0.2">
      <c r="B19" s="2" t="s">
        <v>2</v>
      </c>
      <c r="C19" s="2">
        <f>COUNTIFS(Events!$F$2:$F$481,$B19,Events!$G$2:$G$481,C$15)</f>
        <v>0</v>
      </c>
      <c r="D19" s="2">
        <f>COUNTIFS(Events!$F$2:$F$481,$B19,Events!$G$2:$G$481,D$15)</f>
        <v>9</v>
      </c>
      <c r="E19" s="2">
        <f>COUNTIFS(Events!$F$2:$F$481,$B19,Events!$G$2:$G$481,E$15)</f>
        <v>0</v>
      </c>
      <c r="F19" s="2" t="s">
        <v>564</v>
      </c>
      <c r="G19" s="2">
        <f>COUNTIFS(Events!$F$2:$F$481,$B19,Events!$G$2:$G$481,G$15)</f>
        <v>0</v>
      </c>
      <c r="H19" s="2">
        <f>COUNTIFS(Events!$F$2:$F$481,$B19,Events!$G$2:$G$481,H$15)</f>
        <v>3</v>
      </c>
      <c r="I19" s="2">
        <f>COUNTIFS(Events!$F$2:$F$481,$B19,Events!$G$2:$G$481,I$15)</f>
        <v>0</v>
      </c>
      <c r="J19" s="2">
        <f>COUNTIFS(Events!$F$2:$F$481,$B19,Events!$G$2:$G$481,J$15)</f>
        <v>18</v>
      </c>
      <c r="K19" s="2">
        <f>COUNTIFS(Events!$F$2:$F$481,$B19,Events!$G$2:$G$481,K$15)</f>
        <v>3</v>
      </c>
      <c r="L19" s="2">
        <f>COUNTIFS(Events!$F$2:$F$481,$B19,Events!$G$2:$G$481,L$15)</f>
        <v>15</v>
      </c>
      <c r="M19" s="2">
        <f t="shared" si="0"/>
        <v>48</v>
      </c>
      <c r="O19" s="35" t="s">
        <v>4</v>
      </c>
      <c r="P19" s="2">
        <v>5.67</v>
      </c>
      <c r="Q19" s="2">
        <v>6.75</v>
      </c>
      <c r="R19" s="2">
        <v>5.75</v>
      </c>
      <c r="S19" s="2">
        <v>0</v>
      </c>
      <c r="T19" s="2">
        <v>4.75</v>
      </c>
      <c r="U19" s="2">
        <v>4.33</v>
      </c>
      <c r="V19" s="2">
        <v>7.5</v>
      </c>
      <c r="W19" s="2">
        <v>8.83</v>
      </c>
      <c r="X19" s="2">
        <v>2.67</v>
      </c>
      <c r="Y19" s="2">
        <v>10.58</v>
      </c>
    </row>
    <row r="20" spans="2:25" ht="18" x14ac:dyDescent="0.2">
      <c r="B20" s="2" t="s">
        <v>3</v>
      </c>
      <c r="C20" s="2">
        <f>COUNTIFS(Events!$F$2:$F$481,$B20,Events!$G$2:$G$481,C$15)</f>
        <v>12</v>
      </c>
      <c r="D20" s="2">
        <f>COUNTIFS(Events!$F$2:$F$481,$B20,Events!$G$2:$G$481,D$15)</f>
        <v>9</v>
      </c>
      <c r="E20" s="2">
        <f>COUNTIFS(Events!$F$2:$F$481,$B20,Events!$G$2:$G$481,E$15)</f>
        <v>9</v>
      </c>
      <c r="F20" s="2">
        <f>COUNTIFS(Events!$F$2:$F$481,$B20,Events!$G$2:$G$481,F$15)</f>
        <v>0</v>
      </c>
      <c r="G20" s="2" t="s">
        <v>564</v>
      </c>
      <c r="H20" s="2">
        <f>COUNTIFS(Events!$F$2:$F$481,$B20,Events!$G$2:$G$481,H$15)</f>
        <v>3</v>
      </c>
      <c r="I20" s="2">
        <f>COUNTIFS(Events!$F$2:$F$481,$B20,Events!$G$2:$G$481,I$15)</f>
        <v>15</v>
      </c>
      <c r="J20" s="2">
        <f>COUNTIFS(Events!$F$2:$F$481,$B20,Events!$G$2:$G$481,J$15)</f>
        <v>0</v>
      </c>
      <c r="K20" s="2">
        <f>COUNTIFS(Events!$F$2:$F$481,$B20,Events!$G$2:$G$481,K$15)</f>
        <v>0</v>
      </c>
      <c r="L20" s="2">
        <f>COUNTIFS(Events!$F$2:$F$481,$B20,Events!$G$2:$G$481,L$15)</f>
        <v>0</v>
      </c>
      <c r="M20" s="2">
        <f t="shared" si="0"/>
        <v>48</v>
      </c>
      <c r="O20" s="35" t="s">
        <v>5</v>
      </c>
      <c r="P20" s="2">
        <v>5.3</v>
      </c>
      <c r="Q20" s="2">
        <v>2.33</v>
      </c>
      <c r="R20" s="2">
        <v>2.83</v>
      </c>
      <c r="S20" s="2">
        <v>4.83</v>
      </c>
      <c r="T20" s="2">
        <v>0</v>
      </c>
      <c r="U20" s="2">
        <v>7.33</v>
      </c>
      <c r="V20" s="2">
        <v>12.08</v>
      </c>
      <c r="W20" s="2">
        <v>12.58</v>
      </c>
      <c r="X20" s="2">
        <v>7.25</v>
      </c>
      <c r="Y20" s="2">
        <v>14.33</v>
      </c>
    </row>
    <row r="21" spans="2:25" ht="18" x14ac:dyDescent="0.2">
      <c r="B21" s="2" t="s">
        <v>4</v>
      </c>
      <c r="C21" s="2">
        <f>COUNTIFS(Events!$F$2:$F$481,$B21,Events!$G$2:$G$481,C$15)</f>
        <v>0</v>
      </c>
      <c r="D21" s="2">
        <f>COUNTIFS(Events!$F$2:$F$481,$B21,Events!$G$2:$G$481,D$15)</f>
        <v>6</v>
      </c>
      <c r="E21" s="2">
        <f>COUNTIFS(Events!$F$2:$F$481,$B21,Events!$G$2:$G$481,E$15)</f>
        <v>9</v>
      </c>
      <c r="F21" s="2">
        <f>COUNTIFS(Events!$F$2:$F$481,$B21,Events!$G$2:$G$481,F$15)</f>
        <v>12</v>
      </c>
      <c r="G21" s="2">
        <f>COUNTIFS(Events!$F$2:$F$481,$B21,Events!$G$2:$G$481,G$15)</f>
        <v>6</v>
      </c>
      <c r="H21" s="2" t="s">
        <v>564</v>
      </c>
      <c r="I21" s="2">
        <f>COUNTIFS(Events!$F$2:$F$481,$B21,Events!$G$2:$G$481,I$15)</f>
        <v>6</v>
      </c>
      <c r="J21" s="2">
        <f>COUNTIFS(Events!$F$2:$F$481,$B21,Events!$G$2:$G$481,J$15)</f>
        <v>0</v>
      </c>
      <c r="K21" s="2">
        <f>COUNTIFS(Events!$F$2:$F$481,$B21,Events!$G$2:$G$481,K$15)</f>
        <v>6</v>
      </c>
      <c r="L21" s="2">
        <f>COUNTIFS(Events!$F$2:$F$481,$B21,Events!$G$2:$G$481,L$15)</f>
        <v>3</v>
      </c>
      <c r="M21" s="2">
        <f t="shared" si="0"/>
        <v>48</v>
      </c>
      <c r="O21" s="35" t="s">
        <v>1</v>
      </c>
      <c r="P21" s="2">
        <v>9.58</v>
      </c>
      <c r="Q21" s="2">
        <v>9.5</v>
      </c>
      <c r="R21" s="2">
        <v>9.17</v>
      </c>
      <c r="S21" s="2">
        <v>4.25</v>
      </c>
      <c r="T21" s="2">
        <v>7.17</v>
      </c>
      <c r="U21" s="2">
        <v>0</v>
      </c>
      <c r="V21" s="2">
        <v>9.42</v>
      </c>
      <c r="W21" s="2">
        <v>11.67</v>
      </c>
      <c r="X21" s="2">
        <v>4.67</v>
      </c>
      <c r="Y21" s="2">
        <v>13.42</v>
      </c>
    </row>
    <row r="22" spans="2:25" ht="18" x14ac:dyDescent="0.2">
      <c r="B22" s="2" t="s">
        <v>5</v>
      </c>
      <c r="C22" s="2">
        <f>COUNTIFS(Events!$F$2:$F$481,$B22,Events!$G$2:$G$481,C$15)</f>
        <v>9</v>
      </c>
      <c r="D22" s="2">
        <f>COUNTIFS(Events!$F$2:$F$481,$B22,Events!$G$2:$G$481,D$15)</f>
        <v>6</v>
      </c>
      <c r="E22" s="2">
        <f>COUNTIFS(Events!$F$2:$F$481,$B22,Events!$G$2:$G$481,E$15)</f>
        <v>9</v>
      </c>
      <c r="F22" s="2">
        <f>COUNTIFS(Events!$F$2:$F$481,$B22,Events!$G$2:$G$481,F$15)</f>
        <v>0</v>
      </c>
      <c r="G22" s="2">
        <f>COUNTIFS(Events!$F$2:$F$481,$B22,Events!$G$2:$G$481,G$15)</f>
        <v>9</v>
      </c>
      <c r="H22" s="2">
        <f>COUNTIFS(Events!$F$2:$F$481,$B22,Events!$G$2:$G$481,H$15)</f>
        <v>3</v>
      </c>
      <c r="I22" s="2" t="s">
        <v>564</v>
      </c>
      <c r="J22" s="2">
        <f>COUNTIFS(Events!$F$2:$F$481,$B22,Events!$G$2:$G$481,J$15)</f>
        <v>0</v>
      </c>
      <c r="K22" s="2">
        <f>COUNTIFS(Events!$F$2:$F$481,$B22,Events!$G$2:$G$481,K$15)</f>
        <v>9</v>
      </c>
      <c r="L22" s="2">
        <f>COUNTIFS(Events!$F$2:$F$481,$B22,Events!$G$2:$G$481,L$15)</f>
        <v>3</v>
      </c>
      <c r="M22" s="2">
        <f t="shared" si="0"/>
        <v>48</v>
      </c>
      <c r="O22" s="35" t="s">
        <v>2</v>
      </c>
      <c r="P22" s="2">
        <v>10.17</v>
      </c>
      <c r="Q22" s="2">
        <v>14.08</v>
      </c>
      <c r="R22" s="2">
        <v>12.67</v>
      </c>
      <c r="S22" s="2">
        <v>7.42</v>
      </c>
      <c r="T22" s="2">
        <v>11.75</v>
      </c>
      <c r="U22" s="2">
        <v>9.42</v>
      </c>
      <c r="V22" s="2">
        <v>0</v>
      </c>
      <c r="W22" s="2">
        <v>5</v>
      </c>
      <c r="X22" s="2">
        <v>5</v>
      </c>
      <c r="Y22" s="2">
        <v>5.17</v>
      </c>
    </row>
    <row r="23" spans="2:25" ht="18" x14ac:dyDescent="0.2">
      <c r="B23" s="2" t="s">
        <v>12</v>
      </c>
      <c r="C23" s="2">
        <f>COUNTIFS(Events!$F$2:$F$481,$B23,Events!$G$2:$G$481,C$15)</f>
        <v>6</v>
      </c>
      <c r="D23" s="2">
        <f>COUNTIFS(Events!$F$2:$F$481,$B23,Events!$G$2:$G$481,D$15)</f>
        <v>3</v>
      </c>
      <c r="E23" s="2">
        <f>COUNTIFS(Events!$F$2:$F$481,$B23,Events!$G$2:$G$481,E$15)</f>
        <v>0</v>
      </c>
      <c r="F23" s="2">
        <f>COUNTIFS(Events!$F$2:$F$481,$B23,Events!$G$2:$G$481,F$15)</f>
        <v>12</v>
      </c>
      <c r="G23" s="2">
        <f>COUNTIFS(Events!$F$2:$F$481,$B23,Events!$G$2:$G$481,G$15)</f>
        <v>6</v>
      </c>
      <c r="H23" s="2">
        <f>COUNTIFS(Events!$F$2:$F$481,$B23,Events!$G$2:$G$481,H$15)</f>
        <v>6</v>
      </c>
      <c r="I23" s="2">
        <f>COUNTIFS(Events!$F$2:$F$481,$B23,Events!$G$2:$G$481,I$15)</f>
        <v>0</v>
      </c>
      <c r="J23" s="2" t="s">
        <v>564</v>
      </c>
      <c r="K23" s="2">
        <f>COUNTIFS(Events!$F$2:$F$481,$B23,Events!$G$2:$G$481,K$15)</f>
        <v>3</v>
      </c>
      <c r="L23" s="2">
        <f>COUNTIFS(Events!$F$2:$F$481,$B23,Events!$G$2:$G$481,L$15)</f>
        <v>12</v>
      </c>
      <c r="M23" s="2">
        <f t="shared" si="0"/>
        <v>48</v>
      </c>
      <c r="O23" s="35" t="s">
        <v>12</v>
      </c>
      <c r="P23" s="2">
        <v>7.67</v>
      </c>
      <c r="Q23" s="2">
        <v>14.83</v>
      </c>
      <c r="R23" s="2">
        <v>11.17</v>
      </c>
      <c r="S23" s="2">
        <v>8.83</v>
      </c>
      <c r="T23" s="2">
        <v>12.58</v>
      </c>
      <c r="U23" s="2">
        <v>11.58</v>
      </c>
      <c r="V23" s="2">
        <v>5.08</v>
      </c>
      <c r="W23" s="2">
        <v>0</v>
      </c>
      <c r="X23" s="2">
        <v>7.25</v>
      </c>
      <c r="Y23" s="2">
        <v>2.08</v>
      </c>
    </row>
    <row r="24" spans="2:25" ht="18" x14ac:dyDescent="0.2">
      <c r="B24" s="2" t="s">
        <v>6</v>
      </c>
      <c r="C24" s="2">
        <f>COUNTIFS(Events!$F$2:$F$481,$B24,Events!$G$2:$G$481,C$15)</f>
        <v>6</v>
      </c>
      <c r="D24" s="2">
        <f>COUNTIFS(Events!$F$2:$F$481,$B24,Events!$G$2:$G$481,D$15)</f>
        <v>9</v>
      </c>
      <c r="E24" s="2">
        <f>COUNTIFS(Events!$F$2:$F$481,$B24,Events!$G$2:$G$481,E$15)</f>
        <v>0</v>
      </c>
      <c r="F24" s="2">
        <f>COUNTIFS(Events!$F$2:$F$481,$B24,Events!$G$2:$G$481,F$15)</f>
        <v>6</v>
      </c>
      <c r="G24" s="2">
        <f>COUNTIFS(Events!$F$2:$F$481,$B24,Events!$G$2:$G$481,G$15)</f>
        <v>0</v>
      </c>
      <c r="H24" s="2">
        <f>COUNTIFS(Events!$F$2:$F$481,$B24,Events!$G$2:$G$481,H$15)</f>
        <v>12</v>
      </c>
      <c r="I24" s="2">
        <f>COUNTIFS(Events!$F$2:$F$481,$B24,Events!$G$2:$G$481,I$15)</f>
        <v>0</v>
      </c>
      <c r="J24" s="2">
        <f>COUNTIFS(Events!$F$2:$F$481,$B24,Events!$G$2:$G$481,J$15)</f>
        <v>6</v>
      </c>
      <c r="K24" s="2" t="s">
        <v>564</v>
      </c>
      <c r="L24" s="2">
        <f>COUNTIFS(Events!$F$2:$F$481,$B24,Events!$G$2:$G$481,L$15)</f>
        <v>9</v>
      </c>
      <c r="M24" s="2">
        <f t="shared" si="0"/>
        <v>48</v>
      </c>
      <c r="O24" s="35" t="s">
        <v>6</v>
      </c>
      <c r="P24" s="2">
        <v>8.25</v>
      </c>
      <c r="Q24" s="2">
        <v>9.42</v>
      </c>
      <c r="R24" s="2">
        <v>8.17</v>
      </c>
      <c r="S24" s="2">
        <v>2.67</v>
      </c>
      <c r="T24" s="2">
        <v>7.33</v>
      </c>
      <c r="U24" s="2">
        <v>4.75</v>
      </c>
      <c r="V24" s="2">
        <v>5</v>
      </c>
      <c r="W24" s="2">
        <v>7.33</v>
      </c>
      <c r="X24" s="2">
        <v>0</v>
      </c>
      <c r="Y24" s="2">
        <v>9.25</v>
      </c>
    </row>
    <row r="25" spans="2:25" ht="18" x14ac:dyDescent="0.2">
      <c r="B25" s="5" t="s">
        <v>13</v>
      </c>
      <c r="C25" s="2">
        <f>COUNTIFS(Events!$F$2:$F$481,$B25,Events!$G$2:$G$481,C$15)</f>
        <v>3</v>
      </c>
      <c r="D25" s="2">
        <f>COUNTIFS(Events!$F$2:$F$481,$B25,Events!$G$2:$G$481,D$15)</f>
        <v>3</v>
      </c>
      <c r="E25" s="2">
        <f>COUNTIFS(Events!$F$2:$F$481,$B25,Events!$G$2:$G$481,E$15)</f>
        <v>0</v>
      </c>
      <c r="F25" s="2">
        <f>COUNTIFS(Events!$F$2:$F$481,$B25,Events!$G$2:$G$481,F$15)</f>
        <v>12</v>
      </c>
      <c r="G25" s="2">
        <f>COUNTIFS(Events!$F$2:$F$481,$B25,Events!$G$2:$G$481,G$15)</f>
        <v>0</v>
      </c>
      <c r="H25" s="2">
        <f>COUNTIFS(Events!$F$2:$F$481,$B25,Events!$G$2:$G$481,H$15)</f>
        <v>0</v>
      </c>
      <c r="I25" s="2">
        <f>COUNTIFS(Events!$F$2:$F$481,$B25,Events!$G$2:$G$481,I$15)</f>
        <v>0</v>
      </c>
      <c r="J25" s="2">
        <f>COUNTIFS(Events!$F$2:$F$481,$B25,Events!$G$2:$G$481,J$15)</f>
        <v>15</v>
      </c>
      <c r="K25" s="2">
        <f>COUNTIFS(Events!$F$2:$F$481,$B25,Events!$G$2:$G$481,K$15)</f>
        <v>15</v>
      </c>
      <c r="L25" s="2" t="s">
        <v>564</v>
      </c>
      <c r="M25" s="2">
        <f t="shared" si="0"/>
        <v>48</v>
      </c>
      <c r="O25" s="35" t="s">
        <v>13</v>
      </c>
      <c r="P25" s="2">
        <v>9.25</v>
      </c>
      <c r="Q25" s="2">
        <v>16.329999999999998</v>
      </c>
      <c r="R25" s="2">
        <v>12.67</v>
      </c>
      <c r="S25" s="2">
        <v>10.58</v>
      </c>
      <c r="T25" s="2">
        <v>14.08</v>
      </c>
      <c r="U25" s="2">
        <v>13.25</v>
      </c>
      <c r="V25" s="2">
        <v>5.25</v>
      </c>
      <c r="W25" s="2">
        <v>2.08</v>
      </c>
      <c r="X25" s="2">
        <v>8.83</v>
      </c>
      <c r="Y25" s="2">
        <v>0</v>
      </c>
    </row>
    <row r="26" spans="2:25" x14ac:dyDescent="0.2">
      <c r="B26" s="2" t="s">
        <v>22</v>
      </c>
      <c r="C26" s="2">
        <f>SUM(C16:C25)</f>
        <v>48</v>
      </c>
      <c r="D26" s="2">
        <f t="shared" ref="D26:M26" si="1">SUM(D16:D25)</f>
        <v>48</v>
      </c>
      <c r="E26" s="2">
        <f t="shared" si="1"/>
        <v>48</v>
      </c>
      <c r="F26" s="2">
        <f t="shared" si="1"/>
        <v>48</v>
      </c>
      <c r="G26" s="2">
        <f t="shared" si="1"/>
        <v>48</v>
      </c>
      <c r="H26" s="2">
        <f t="shared" si="1"/>
        <v>48</v>
      </c>
      <c r="I26" s="2">
        <f t="shared" si="1"/>
        <v>48</v>
      </c>
      <c r="J26" s="2">
        <f t="shared" si="1"/>
        <v>48</v>
      </c>
      <c r="K26" s="2">
        <f t="shared" si="1"/>
        <v>48</v>
      </c>
      <c r="L26" s="2">
        <f t="shared" si="1"/>
        <v>48</v>
      </c>
      <c r="M26" s="2">
        <f t="shared" si="1"/>
        <v>480</v>
      </c>
    </row>
    <row r="28" spans="2:25" ht="18" x14ac:dyDescent="0.2">
      <c r="C28" s="11" t="s">
        <v>522</v>
      </c>
      <c r="D28" s="1" t="s">
        <v>523</v>
      </c>
      <c r="E28" s="1" t="s">
        <v>522</v>
      </c>
      <c r="F28" s="1" t="s">
        <v>523</v>
      </c>
      <c r="G28" s="1" t="s">
        <v>522</v>
      </c>
      <c r="H28" s="1" t="s">
        <v>522</v>
      </c>
      <c r="I28" s="1" t="s">
        <v>522</v>
      </c>
      <c r="J28" s="1" t="s">
        <v>523</v>
      </c>
      <c r="K28" s="1" t="s">
        <v>523</v>
      </c>
      <c r="L28" s="1" t="s">
        <v>523</v>
      </c>
      <c r="O28" s="34" t="s">
        <v>19</v>
      </c>
      <c r="P28" s="34" t="s">
        <v>7</v>
      </c>
      <c r="Q28" s="34" t="s">
        <v>14</v>
      </c>
      <c r="R28" s="34" t="s">
        <v>16</v>
      </c>
      <c r="S28" s="34" t="s">
        <v>18</v>
      </c>
      <c r="T28" s="34" t="s">
        <v>9</v>
      </c>
      <c r="U28" s="34" t="s">
        <v>8</v>
      </c>
      <c r="V28" s="34" t="s">
        <v>15</v>
      </c>
      <c r="W28" s="34" t="s">
        <v>12</v>
      </c>
      <c r="X28" s="34" t="s">
        <v>10</v>
      </c>
      <c r="Y28" s="34" t="s">
        <v>17</v>
      </c>
    </row>
    <row r="29" spans="2:25" ht="18" x14ac:dyDescent="0.2">
      <c r="B29" s="2" t="s">
        <v>521</v>
      </c>
      <c r="C29" s="8" t="s">
        <v>7</v>
      </c>
      <c r="D29" s="9" t="s">
        <v>8</v>
      </c>
      <c r="E29" s="8" t="s">
        <v>14</v>
      </c>
      <c r="F29" s="9" t="s">
        <v>15</v>
      </c>
      <c r="G29" s="8" t="s">
        <v>16</v>
      </c>
      <c r="H29" s="8" t="s">
        <v>18</v>
      </c>
      <c r="I29" s="8" t="s">
        <v>9</v>
      </c>
      <c r="J29" s="9" t="s">
        <v>12</v>
      </c>
      <c r="K29" s="9" t="s">
        <v>10</v>
      </c>
      <c r="L29" s="9" t="s">
        <v>17</v>
      </c>
      <c r="M29" s="2" t="s">
        <v>22</v>
      </c>
      <c r="O29" s="35" t="s">
        <v>0</v>
      </c>
      <c r="P29" s="35">
        <v>0</v>
      </c>
      <c r="Q29" s="35">
        <v>420</v>
      </c>
      <c r="R29" s="35">
        <v>218</v>
      </c>
      <c r="S29" s="35">
        <v>340</v>
      </c>
      <c r="T29" s="35">
        <v>345</v>
      </c>
      <c r="U29" s="35">
        <v>599</v>
      </c>
      <c r="V29" s="35">
        <v>663</v>
      </c>
      <c r="W29" s="35">
        <v>507</v>
      </c>
      <c r="X29" s="35">
        <v>516</v>
      </c>
      <c r="Y29" s="35">
        <v>621</v>
      </c>
    </row>
    <row r="30" spans="2:25" ht="18" x14ac:dyDescent="0.2">
      <c r="B30" s="8" t="s">
        <v>0</v>
      </c>
      <c r="C30" s="2" t="s">
        <v>564</v>
      </c>
      <c r="D30" s="2">
        <f>COUNTIFS(Events!$F$2:$F$481,$B30,Events!$G$2:$G$481,D$29)+COUNTIFS(Events!$H$2:$H$481,D$29,Events!$E$2:$E$481,$B30)</f>
        <v>6</v>
      </c>
      <c r="E30" s="2">
        <f>COUNTIFS(Events!$F$2:$F$481,$B30,Events!$G$2:$G$481,E$29)+COUNTIFS(Events!$H$2:$H$481,E$29,Events!$E$2:$E$481,$B30)</f>
        <v>21</v>
      </c>
      <c r="F30" s="2">
        <f>COUNTIFS(Events!$F$2:$F$481,$B30,Events!$G$2:$G$481,F$29)+COUNTIFS(Events!$H$2:$H$481,F$29,Events!$E$2:$E$481,$B30)</f>
        <v>0</v>
      </c>
      <c r="G30" s="2">
        <f>COUNTIFS(Events!$F$2:$F$481,$B30,Events!$G$2:$G$481,G$29)+COUNTIFS(Events!$H$2:$H$481,G$29,Events!$E$2:$E$481,$B30)</f>
        <v>21</v>
      </c>
      <c r="H30" s="2">
        <f>COUNTIFS(Events!$F$2:$F$481,$B30,Events!$G$2:$G$481,H$29)+COUNTIFS(Events!$H$2:$H$481,H$29,Events!$E$2:$E$481,$B30)</f>
        <v>6</v>
      </c>
      <c r="I30" s="2">
        <f>COUNTIFS(Events!$F$2:$F$481,$B30,Events!$G$2:$G$481,I$29)+COUNTIFS(Events!$H$2:$H$481,I$29,Events!$E$2:$E$481,$B30)</f>
        <v>18</v>
      </c>
      <c r="J30" s="2">
        <f>COUNTIFS(Events!$F$2:$F$481,$B30,Events!$G$2:$G$481,J$29)+COUNTIFS(Events!$H$2:$H$481,J$29,Events!$E$2:$E$481,$B30)</f>
        <v>15</v>
      </c>
      <c r="K30" s="2">
        <f>COUNTIFS(Events!$F$2:$F$481,$B30,Events!$G$2:$G$481,K$29)+COUNTIFS(Events!$H$2:$H$481,K$29,Events!$E$2:$E$481,$B30)</f>
        <v>6</v>
      </c>
      <c r="L30" s="2">
        <f>COUNTIFS(Events!$F$2:$F$481,$B30,Events!$G$2:$G$481,L$29)+COUNTIFS(Events!$H$2:$H$481,L$29,Events!$E$2:$E$481,$B30)</f>
        <v>3</v>
      </c>
      <c r="M30" s="2">
        <f>SUM(C30:L30)</f>
        <v>96</v>
      </c>
      <c r="O30" s="35" t="s">
        <v>11</v>
      </c>
      <c r="P30" s="35">
        <v>420</v>
      </c>
      <c r="Q30" s="35">
        <v>0</v>
      </c>
      <c r="R30" s="35">
        <v>225</v>
      </c>
      <c r="S30" s="35">
        <v>426</v>
      </c>
      <c r="T30" s="35">
        <v>126</v>
      </c>
      <c r="U30" s="35">
        <v>482</v>
      </c>
      <c r="V30" s="35">
        <v>920</v>
      </c>
      <c r="W30" s="35">
        <v>947</v>
      </c>
      <c r="X30" s="35">
        <v>604</v>
      </c>
      <c r="Y30" s="35">
        <v>1061</v>
      </c>
    </row>
    <row r="31" spans="2:25" ht="18" x14ac:dyDescent="0.2">
      <c r="B31" s="9" t="s">
        <v>1</v>
      </c>
      <c r="C31" s="2">
        <f>COUNTIFS(Events!$F$2:$F$481,$B31,Events!$G$2:$G$481,C$29)+COUNTIFS(Events!$H$2:$H$481,C$29,Events!$E$2:$E$481,$B31)</f>
        <v>6</v>
      </c>
      <c r="D31" s="2" t="s">
        <v>564</v>
      </c>
      <c r="E31" s="2">
        <f>COUNTIFS(Events!$F$2:$F$481,$B31,Events!$G$2:$G$481,E$29)+COUNTIFS(Events!$H$2:$H$481,E$29,Events!$E$2:$E$481,$B31)</f>
        <v>9</v>
      </c>
      <c r="F31" s="2">
        <f>COUNTIFS(Events!$F$2:$F$481,$B31,Events!$G$2:$G$481,F$29)+COUNTIFS(Events!$H$2:$H$481,F$29,Events!$E$2:$E$481,$B31)</f>
        <v>15</v>
      </c>
      <c r="G31" s="2">
        <f>COUNTIFS(Events!$F$2:$F$481,$B31,Events!$G$2:$G$481,G$29)+COUNTIFS(Events!$H$2:$H$481,G$29,Events!$E$2:$E$481,$B31)</f>
        <v>18</v>
      </c>
      <c r="H31" s="2">
        <f>COUNTIFS(Events!$F$2:$F$481,$B31,Events!$G$2:$G$481,H$29)+COUNTIFS(Events!$H$2:$H$481,H$29,Events!$E$2:$E$481,$B31)</f>
        <v>12</v>
      </c>
      <c r="I31" s="2">
        <f>COUNTIFS(Events!$F$2:$F$481,$B31,Events!$G$2:$G$481,I$29)+COUNTIFS(Events!$H$2:$H$481,I$29,Events!$E$2:$E$481,$B31)</f>
        <v>9</v>
      </c>
      <c r="J31" s="2">
        <f>COUNTIFS(Events!$F$2:$F$481,$B31,Events!$G$2:$G$481,J$29)+COUNTIFS(Events!$H$2:$H$481,J$29,Events!$E$2:$E$481,$B31)</f>
        <v>3</v>
      </c>
      <c r="K31" s="2">
        <f>COUNTIFS(Events!$F$2:$F$481,$B31,Events!$G$2:$G$481,K$29)+COUNTIFS(Events!$H$2:$H$481,K$29,Events!$E$2:$E$481,$B31)</f>
        <v>18</v>
      </c>
      <c r="L31" s="2">
        <f>COUNTIFS(Events!$F$2:$F$481,$B31,Events!$G$2:$G$481,L$29)+COUNTIFS(Events!$H$2:$H$481,L$29,Events!$E$2:$E$481,$B31)</f>
        <v>6</v>
      </c>
      <c r="M31" s="2">
        <f t="shared" ref="M31:M39" si="2">SUM(C31:L31)</f>
        <v>96</v>
      </c>
      <c r="O31" s="35" t="s">
        <v>3</v>
      </c>
      <c r="P31" s="35">
        <v>218</v>
      </c>
      <c r="Q31" s="35">
        <v>225</v>
      </c>
      <c r="R31" s="35">
        <v>0</v>
      </c>
      <c r="S31" s="35">
        <v>362</v>
      </c>
      <c r="T31" s="35">
        <v>169</v>
      </c>
      <c r="U31" s="35">
        <v>584</v>
      </c>
      <c r="V31" s="35">
        <v>855</v>
      </c>
      <c r="W31" s="35">
        <v>726</v>
      </c>
      <c r="X31" s="35">
        <v>539</v>
      </c>
      <c r="Y31" s="35">
        <v>839</v>
      </c>
    </row>
    <row r="32" spans="2:25" ht="18" x14ac:dyDescent="0.2">
      <c r="B32" s="8" t="s">
        <v>11</v>
      </c>
      <c r="C32" s="2">
        <f>COUNTIFS(Events!$F$2:$F$481,$B32,Events!$G$2:$G$481,C$29)+COUNTIFS(Events!$H$2:$H$481,C$29,Events!$E$2:$E$481,$B32)</f>
        <v>21</v>
      </c>
      <c r="D32" s="2">
        <f>COUNTIFS(Events!$F$2:$F$481,$B32,Events!$G$2:$G$481,D$29)+COUNTIFS(Events!$H$2:$H$481,D$29,Events!$E$2:$E$481,$B32)</f>
        <v>9</v>
      </c>
      <c r="E32" s="2" t="s">
        <v>564</v>
      </c>
      <c r="F32" s="2">
        <f>COUNTIFS(Events!$F$2:$F$481,$B32,Events!$G$2:$G$481,F$29)+COUNTIFS(Events!$H$2:$H$481,F$29,Events!$E$2:$E$481,$B32)</f>
        <v>0</v>
      </c>
      <c r="G32" s="2">
        <f>COUNTIFS(Events!$F$2:$F$481,$B32,Events!$G$2:$G$481,G$29)+COUNTIFS(Events!$H$2:$H$481,G$29,Events!$E$2:$E$481,$B32)</f>
        <v>18</v>
      </c>
      <c r="H32" s="2">
        <f>COUNTIFS(Events!$F$2:$F$481,$B32,Events!$G$2:$G$481,H$29)+COUNTIFS(Events!$H$2:$H$481,H$29,Events!$E$2:$E$481,$B32)</f>
        <v>18</v>
      </c>
      <c r="I32" s="2">
        <f>COUNTIFS(Events!$F$2:$F$481,$B32,Events!$G$2:$G$481,I$29)+COUNTIFS(Events!$H$2:$H$481,I$29,Events!$E$2:$E$481,$B32)</f>
        <v>24</v>
      </c>
      <c r="J32" s="2">
        <f>COUNTIFS(Events!$F$2:$F$481,$B32,Events!$G$2:$G$481,J$29)+COUNTIFS(Events!$H$2:$H$481,J$29,Events!$E$2:$E$481,$B32)</f>
        <v>0</v>
      </c>
      <c r="K32" s="2">
        <f>COUNTIFS(Events!$F$2:$F$481,$B32,Events!$G$2:$G$481,K$29)+COUNTIFS(Events!$H$2:$H$481,K$29,Events!$E$2:$E$481,$B32)</f>
        <v>3</v>
      </c>
      <c r="L32" s="2">
        <f>COUNTIFS(Events!$F$2:$F$481,$B32,Events!$G$2:$G$481,L$29)+COUNTIFS(Events!$H$2:$H$481,L$29,Events!$E$2:$E$481,$B32)</f>
        <v>3</v>
      </c>
      <c r="M32" s="2">
        <f t="shared" si="2"/>
        <v>96</v>
      </c>
      <c r="O32" s="35" t="s">
        <v>4</v>
      </c>
      <c r="P32" s="35">
        <v>338</v>
      </c>
      <c r="Q32" s="35">
        <v>427</v>
      </c>
      <c r="R32" s="35">
        <v>362</v>
      </c>
      <c r="S32" s="35">
        <v>0</v>
      </c>
      <c r="T32" s="35">
        <v>314</v>
      </c>
      <c r="U32" s="35">
        <v>264</v>
      </c>
      <c r="V32" s="35">
        <v>496</v>
      </c>
      <c r="W32" s="35">
        <v>548</v>
      </c>
      <c r="X32" s="35">
        <v>180</v>
      </c>
      <c r="Y32" s="35">
        <v>661</v>
      </c>
    </row>
    <row r="33" spans="2:26" ht="18" x14ac:dyDescent="0.2">
      <c r="B33" s="9" t="s">
        <v>2</v>
      </c>
      <c r="C33" s="2">
        <f>COUNTIFS(Events!$F$2:$F$481,$B33,Events!$G$2:$G$481,C$29)+COUNTIFS(Events!$H$2:$H$481,C$29,Events!$E$2:$E$481,$B33)</f>
        <v>0</v>
      </c>
      <c r="D33" s="2">
        <f>COUNTIFS(Events!$F$2:$F$481,$B33,Events!$G$2:$G$481,D$29)+COUNTIFS(Events!$H$2:$H$481,D$29,Events!$E$2:$E$481,$B33)</f>
        <v>15</v>
      </c>
      <c r="E33" s="2">
        <f>COUNTIFS(Events!$F$2:$F$481,$B33,Events!$G$2:$G$481,E$29)+COUNTIFS(Events!$H$2:$H$481,E$29,Events!$E$2:$E$481,$B33)</f>
        <v>0</v>
      </c>
      <c r="F33" s="2" t="s">
        <v>564</v>
      </c>
      <c r="G33" s="2">
        <f>COUNTIFS(Events!$F$2:$F$481,$B33,Events!$G$2:$G$481,G$29)+COUNTIFS(Events!$H$2:$H$481,G$29,Events!$E$2:$E$481,$B33)</f>
        <v>0</v>
      </c>
      <c r="H33" s="2">
        <f>COUNTIFS(Events!$F$2:$F$481,$B33,Events!$G$2:$G$481,H$29)+COUNTIFS(Events!$H$2:$H$481,H$29,Events!$E$2:$E$481,$B33)</f>
        <v>15</v>
      </c>
      <c r="I33" s="2">
        <f>COUNTIFS(Events!$F$2:$F$481,$B33,Events!$G$2:$G$481,I$29)+COUNTIFS(Events!$H$2:$H$481,I$29,Events!$E$2:$E$481,$B33)</f>
        <v>0</v>
      </c>
      <c r="J33" s="2">
        <f>COUNTIFS(Events!$F$2:$F$481,$B33,Events!$G$2:$G$481,J$29)+COUNTIFS(Events!$H$2:$H$481,J$29,Events!$E$2:$E$481,$B33)</f>
        <v>30</v>
      </c>
      <c r="K33" s="2">
        <f>COUNTIFS(Events!$F$2:$F$481,$B33,Events!$G$2:$G$481,K$29)+COUNTIFS(Events!$H$2:$H$481,K$29,Events!$E$2:$E$481,$B33)</f>
        <v>9</v>
      </c>
      <c r="L33" s="2">
        <f>COUNTIFS(Events!$F$2:$F$481,$B33,Events!$G$2:$G$481,L$29)+COUNTIFS(Events!$H$2:$H$481,L$29,Events!$E$2:$E$481,$B33)</f>
        <v>27</v>
      </c>
      <c r="M33" s="2">
        <f t="shared" si="2"/>
        <v>96</v>
      </c>
      <c r="O33" s="35" t="s">
        <v>5</v>
      </c>
      <c r="P33" s="35">
        <v>345</v>
      </c>
      <c r="Q33" s="35">
        <v>125</v>
      </c>
      <c r="R33" s="35">
        <v>169</v>
      </c>
      <c r="S33" s="35">
        <v>313</v>
      </c>
      <c r="T33" s="35">
        <v>0</v>
      </c>
      <c r="U33" s="35">
        <v>359</v>
      </c>
      <c r="V33" s="35">
        <v>806</v>
      </c>
      <c r="W33" s="35">
        <v>851</v>
      </c>
      <c r="X33" s="35">
        <v>490</v>
      </c>
      <c r="Y33" s="35">
        <v>965</v>
      </c>
    </row>
    <row r="34" spans="2:26" ht="18" x14ac:dyDescent="0.2">
      <c r="B34" s="8" t="s">
        <v>3</v>
      </c>
      <c r="C34" s="2">
        <f>COUNTIFS(Events!$F$2:$F$481,$B34,Events!$G$2:$G$481,C$29)+COUNTIFS(Events!$H$2:$H$481,C$29,Events!$E$2:$E$481,$B34)</f>
        <v>21</v>
      </c>
      <c r="D34" s="2">
        <f>COUNTIFS(Events!$F$2:$F$481,$B34,Events!$G$2:$G$481,D$29)+COUNTIFS(Events!$H$2:$H$481,D$29,Events!$E$2:$E$481,$B34)</f>
        <v>18</v>
      </c>
      <c r="E34" s="2">
        <f>COUNTIFS(Events!$F$2:$F$481,$B34,Events!$G$2:$G$481,E$29)+COUNTIFS(Events!$H$2:$H$481,E$29,Events!$E$2:$E$481,$B34)</f>
        <v>18</v>
      </c>
      <c r="F34" s="2">
        <f>COUNTIFS(Events!$F$2:$F$481,$B34,Events!$G$2:$G$481,F$29)+COUNTIFS(Events!$H$2:$H$481,F$29,Events!$E$2:$E$481,$B34)</f>
        <v>0</v>
      </c>
      <c r="G34" s="2" t="s">
        <v>564</v>
      </c>
      <c r="H34" s="2">
        <f>COUNTIFS(Events!$F$2:$F$481,$B34,Events!$G$2:$G$481,H$29)+COUNTIFS(Events!$H$2:$H$481,H$29,Events!$E$2:$E$481,$B34)</f>
        <v>9</v>
      </c>
      <c r="I34" s="2">
        <f>COUNTIFS(Events!$F$2:$F$481,$B34,Events!$G$2:$G$481,I$29)+COUNTIFS(Events!$H$2:$H$481,I$29,Events!$E$2:$E$481,$B34)</f>
        <v>24</v>
      </c>
      <c r="J34" s="2">
        <f>COUNTIFS(Events!$F$2:$F$481,$B34,Events!$G$2:$G$481,J$29)+COUNTIFS(Events!$H$2:$H$481,J$29,Events!$E$2:$E$481,$B34)</f>
        <v>6</v>
      </c>
      <c r="K34" s="2">
        <f>COUNTIFS(Events!$F$2:$F$481,$B34,Events!$G$2:$G$481,K$29)+COUNTIFS(Events!$H$2:$H$481,K$29,Events!$E$2:$E$481,$B34)</f>
        <v>0</v>
      </c>
      <c r="L34" s="2">
        <f>COUNTIFS(Events!$F$2:$F$481,$B34,Events!$G$2:$G$481,L$29)+COUNTIFS(Events!$H$2:$H$481,L$29,Events!$E$2:$E$481,$B34)</f>
        <v>0</v>
      </c>
      <c r="M34" s="2">
        <f t="shared" si="2"/>
        <v>96</v>
      </c>
      <c r="O34" s="35" t="s">
        <v>1</v>
      </c>
      <c r="P34" s="35">
        <v>620</v>
      </c>
      <c r="Q34" s="35">
        <v>482</v>
      </c>
      <c r="R34" s="35">
        <v>584</v>
      </c>
      <c r="S34" s="35">
        <v>264</v>
      </c>
      <c r="T34" s="35">
        <v>359</v>
      </c>
      <c r="U34" s="35">
        <v>0</v>
      </c>
      <c r="V34" s="35">
        <v>628</v>
      </c>
      <c r="W34" s="35">
        <v>775</v>
      </c>
      <c r="X34" s="35">
        <v>311</v>
      </c>
      <c r="Y34" s="35">
        <v>889</v>
      </c>
    </row>
    <row r="35" spans="2:26" ht="18" x14ac:dyDescent="0.2">
      <c r="B35" s="8" t="s">
        <v>4</v>
      </c>
      <c r="C35" s="2">
        <f>COUNTIFS(Events!$F$2:$F$481,$B35,Events!$G$2:$G$481,C$29)+COUNTIFS(Events!$H$2:$H$481,C$29,Events!$E$2:$E$481,$B35)</f>
        <v>6</v>
      </c>
      <c r="D35" s="2">
        <f>COUNTIFS(Events!$F$2:$F$481,$B35,Events!$G$2:$G$481,D$29)+COUNTIFS(Events!$H$2:$H$481,D$29,Events!$E$2:$E$481,$B35)</f>
        <v>12</v>
      </c>
      <c r="E35" s="2">
        <f>COUNTIFS(Events!$F$2:$F$481,$B35,Events!$G$2:$G$481,E$29)+COUNTIFS(Events!$H$2:$H$481,E$29,Events!$E$2:$E$481,$B35)</f>
        <v>18</v>
      </c>
      <c r="F35" s="2">
        <f>COUNTIFS(Events!$F$2:$F$481,$B35,Events!$G$2:$G$481,F$29)+COUNTIFS(Events!$H$2:$H$481,F$29,Events!$E$2:$E$481,$B35)</f>
        <v>15</v>
      </c>
      <c r="G35" s="2">
        <f>COUNTIFS(Events!$F$2:$F$481,$B35,Events!$G$2:$G$481,G$29)+COUNTIFS(Events!$H$2:$H$481,G$29,Events!$E$2:$E$481,$B35)</f>
        <v>9</v>
      </c>
      <c r="H35" s="2" t="s">
        <v>564</v>
      </c>
      <c r="I35" s="2">
        <f>COUNTIFS(Events!$F$2:$F$481,$B35,Events!$G$2:$G$481,I$29)+COUNTIFS(Events!$H$2:$H$481,I$29,Events!$E$2:$E$481,$B35)</f>
        <v>9</v>
      </c>
      <c r="J35" s="2">
        <f>COUNTIFS(Events!$F$2:$F$481,$B35,Events!$G$2:$G$481,J$29)+COUNTIFS(Events!$H$2:$H$481,J$29,Events!$E$2:$E$481,$B35)</f>
        <v>6</v>
      </c>
      <c r="K35" s="2">
        <f>COUNTIFS(Events!$F$2:$F$481,$B35,Events!$G$2:$G$481,K$29)+COUNTIFS(Events!$H$2:$H$481,K$29,Events!$E$2:$E$481,$B35)</f>
        <v>18</v>
      </c>
      <c r="L35" s="2">
        <f>COUNTIFS(Events!$F$2:$F$481,$B35,Events!$G$2:$G$481,L$29)+COUNTIFS(Events!$H$2:$H$481,L$29,Events!$E$2:$E$481,$B35)</f>
        <v>3</v>
      </c>
      <c r="M35" s="2">
        <f t="shared" si="2"/>
        <v>96</v>
      </c>
      <c r="O35" s="35" t="s">
        <v>2</v>
      </c>
      <c r="P35" s="35">
        <v>663</v>
      </c>
      <c r="Q35" s="35">
        <v>920</v>
      </c>
      <c r="R35" s="35">
        <v>855</v>
      </c>
      <c r="S35" s="35">
        <v>496</v>
      </c>
      <c r="T35" s="35">
        <v>806</v>
      </c>
      <c r="U35" s="35">
        <v>627</v>
      </c>
      <c r="V35" s="35">
        <v>0</v>
      </c>
      <c r="W35" s="35">
        <v>298</v>
      </c>
      <c r="X35" s="35">
        <v>319</v>
      </c>
      <c r="Y35" s="35">
        <v>311</v>
      </c>
    </row>
    <row r="36" spans="2:26" ht="18" x14ac:dyDescent="0.2">
      <c r="B36" s="8" t="s">
        <v>5</v>
      </c>
      <c r="C36" s="2">
        <f>COUNTIFS(Events!$F$2:$F$481,$B36,Events!$G$2:$G$481,C$29)+COUNTIFS(Events!$H$2:$H$481,C$29,Events!$E$2:$E$481,$B36)</f>
        <v>18</v>
      </c>
      <c r="D36" s="2">
        <f>COUNTIFS(Events!$F$2:$F$481,$B36,Events!$G$2:$G$481,D$29)+COUNTIFS(Events!$H$2:$H$481,D$29,Events!$E$2:$E$481,$B36)</f>
        <v>9</v>
      </c>
      <c r="E36" s="2">
        <f>COUNTIFS(Events!$F$2:$F$481,$B36,Events!$G$2:$G$481,E$29)+COUNTIFS(Events!$H$2:$H$481,E$29,Events!$E$2:$E$481,$B36)</f>
        <v>24</v>
      </c>
      <c r="F36" s="2">
        <f>COUNTIFS(Events!$F$2:$F$481,$B36,Events!$G$2:$G$481,F$29)+COUNTIFS(Events!$H$2:$H$481,F$29,Events!$E$2:$E$481,$B36)</f>
        <v>0</v>
      </c>
      <c r="G36" s="2">
        <f>COUNTIFS(Events!$F$2:$F$481,$B36,Events!$G$2:$G$481,G$29)+COUNTIFS(Events!$H$2:$H$481,G$29,Events!$E$2:$E$481,$B36)</f>
        <v>24</v>
      </c>
      <c r="H36" s="2">
        <f>COUNTIFS(Events!$F$2:$F$481,$B36,Events!$G$2:$G$481,H$29)+COUNTIFS(Events!$H$2:$H$481,H$29,Events!$E$2:$E$481,$B36)</f>
        <v>9</v>
      </c>
      <c r="I36" s="2" t="s">
        <v>564</v>
      </c>
      <c r="J36" s="2">
        <f>COUNTIFS(Events!$F$2:$F$481,$B36,Events!$G$2:$G$481,J$29)+COUNTIFS(Events!$H$2:$H$481,J$29,Events!$E$2:$E$481,$B36)</f>
        <v>0</v>
      </c>
      <c r="K36" s="2">
        <f>COUNTIFS(Events!$F$2:$F$481,$B36,Events!$G$2:$G$481,K$29)+COUNTIFS(Events!$H$2:$H$481,K$29,Events!$E$2:$E$481,$B36)</f>
        <v>9</v>
      </c>
      <c r="L36" s="2">
        <f>COUNTIFS(Events!$F$2:$F$481,$B36,Events!$G$2:$G$481,L$29)+COUNTIFS(Events!$H$2:$H$481,L$29,Events!$E$2:$E$481,$B36)</f>
        <v>3</v>
      </c>
      <c r="M36" s="2">
        <f t="shared" si="2"/>
        <v>96</v>
      </c>
      <c r="O36" s="35" t="s">
        <v>12</v>
      </c>
      <c r="P36" s="35">
        <v>507</v>
      </c>
      <c r="Q36" s="35">
        <v>947</v>
      </c>
      <c r="R36" s="35">
        <v>726</v>
      </c>
      <c r="S36" s="35">
        <v>546</v>
      </c>
      <c r="T36" s="35">
        <v>851</v>
      </c>
      <c r="U36" s="35">
        <v>775</v>
      </c>
      <c r="V36" s="35">
        <v>298</v>
      </c>
      <c r="W36" s="35">
        <v>0</v>
      </c>
      <c r="X36" s="35">
        <v>467</v>
      </c>
      <c r="Y36" s="35">
        <v>126</v>
      </c>
    </row>
    <row r="37" spans="2:26" ht="18" x14ac:dyDescent="0.2">
      <c r="B37" s="9" t="s">
        <v>12</v>
      </c>
      <c r="C37" s="2">
        <f>COUNTIFS(Events!$F$2:$F$481,$B37,Events!$G$2:$G$481,C$29)+COUNTIFS(Events!$H$2:$H$481,C$29,Events!$E$2:$E$481,$B37)</f>
        <v>15</v>
      </c>
      <c r="D37" s="2">
        <f>COUNTIFS(Events!$F$2:$F$481,$B37,Events!$G$2:$G$481,D$29)+COUNTIFS(Events!$H$2:$H$481,D$29,Events!$E$2:$E$481,$B37)</f>
        <v>3</v>
      </c>
      <c r="E37" s="2">
        <f>COUNTIFS(Events!$F$2:$F$481,$B37,Events!$G$2:$G$481,E$29)+COUNTIFS(Events!$H$2:$H$481,E$29,Events!$E$2:$E$481,$B37)</f>
        <v>0</v>
      </c>
      <c r="F37" s="2">
        <f>COUNTIFS(Events!$F$2:$F$481,$B37,Events!$G$2:$G$481,F$29)+COUNTIFS(Events!$H$2:$H$481,F$29,Events!$E$2:$E$481,$B37)</f>
        <v>30</v>
      </c>
      <c r="G37" s="2">
        <f>COUNTIFS(Events!$F$2:$F$481,$B37,Events!$G$2:$G$481,G$29)+COUNTIFS(Events!$H$2:$H$481,G$29,Events!$E$2:$E$481,$B37)</f>
        <v>6</v>
      </c>
      <c r="H37" s="2">
        <f>COUNTIFS(Events!$F$2:$F$481,$B37,Events!$G$2:$G$481,H$29)+COUNTIFS(Events!$H$2:$H$481,H$29,Events!$E$2:$E$481,$B37)</f>
        <v>6</v>
      </c>
      <c r="I37" s="2">
        <f>COUNTIFS(Events!$F$2:$F$481,$B37,Events!$G$2:$G$481,I$29)+COUNTIFS(Events!$H$2:$H$481,I$29,Events!$E$2:$E$481,$B37)</f>
        <v>0</v>
      </c>
      <c r="J37" s="2" t="s">
        <v>564</v>
      </c>
      <c r="K37" s="2">
        <f>COUNTIFS(Events!$F$2:$F$481,$B37,Events!$G$2:$G$481,K$29)+COUNTIFS(Events!$H$2:$H$481,K$29,Events!$E$2:$E$481,$B37)</f>
        <v>9</v>
      </c>
      <c r="L37" s="2">
        <f>COUNTIFS(Events!$F$2:$F$481,$B37,Events!$G$2:$G$481,L$29)+COUNTIFS(Events!$H$2:$H$481,L$29,Events!$E$2:$E$481,$B37)</f>
        <v>27</v>
      </c>
      <c r="M37" s="2">
        <f t="shared" si="2"/>
        <v>96</v>
      </c>
      <c r="O37" s="35" t="s">
        <v>6</v>
      </c>
      <c r="P37" s="35">
        <v>516</v>
      </c>
      <c r="Q37" s="35">
        <v>604</v>
      </c>
      <c r="R37" s="35">
        <v>539</v>
      </c>
      <c r="S37" s="35">
        <v>180</v>
      </c>
      <c r="T37" s="35">
        <v>491</v>
      </c>
      <c r="U37" s="35">
        <v>311</v>
      </c>
      <c r="V37" s="35">
        <v>319</v>
      </c>
      <c r="W37" s="35">
        <v>469</v>
      </c>
      <c r="X37" s="35">
        <v>0</v>
      </c>
      <c r="Y37" s="35">
        <v>583</v>
      </c>
    </row>
    <row r="38" spans="2:26" ht="18" x14ac:dyDescent="0.2">
      <c r="B38" s="9" t="s">
        <v>6</v>
      </c>
      <c r="C38" s="2">
        <f>COUNTIFS(Events!$F$2:$F$481,$B38,Events!$G$2:$G$481,C$29)+COUNTIFS(Events!$H$2:$H$481,C$29,Events!$E$2:$E$481,$B38)</f>
        <v>6</v>
      </c>
      <c r="D38" s="2">
        <f>COUNTIFS(Events!$F$2:$F$481,$B38,Events!$G$2:$G$481,D$29)+COUNTIFS(Events!$H$2:$H$481,D$29,Events!$E$2:$E$481,$B38)</f>
        <v>18</v>
      </c>
      <c r="E38" s="2">
        <f>COUNTIFS(Events!$F$2:$F$481,$B38,Events!$G$2:$G$481,E$29)+COUNTIFS(Events!$H$2:$H$481,E$29,Events!$E$2:$E$481,$B38)</f>
        <v>3</v>
      </c>
      <c r="F38" s="2">
        <f>COUNTIFS(Events!$F$2:$F$481,$B38,Events!$G$2:$G$481,F$29)+COUNTIFS(Events!$H$2:$H$481,F$29,Events!$E$2:$E$481,$B38)</f>
        <v>9</v>
      </c>
      <c r="G38" s="2">
        <f>COUNTIFS(Events!$F$2:$F$481,$B38,Events!$G$2:$G$481,G$29)+COUNTIFS(Events!$H$2:$H$481,G$29,Events!$E$2:$E$481,$B38)</f>
        <v>0</v>
      </c>
      <c r="H38" s="2">
        <f>COUNTIFS(Events!$F$2:$F$481,$B38,Events!$G$2:$G$481,H$29)+COUNTIFS(Events!$H$2:$H$481,H$29,Events!$E$2:$E$481,$B38)</f>
        <v>18</v>
      </c>
      <c r="I38" s="2">
        <f>COUNTIFS(Events!$F$2:$F$481,$B38,Events!$G$2:$G$481,I$29)+COUNTIFS(Events!$H$2:$H$481,I$29,Events!$E$2:$E$481,$B38)</f>
        <v>9</v>
      </c>
      <c r="J38" s="2">
        <f>COUNTIFS(Events!$F$2:$F$481,$B38,Events!$G$2:$G$481,J$29)+COUNTIFS(Events!$H$2:$H$481,J$29,Events!$E$2:$E$481,$B38)</f>
        <v>9</v>
      </c>
      <c r="K38" s="2" t="s">
        <v>564</v>
      </c>
      <c r="L38" s="2">
        <f>COUNTIFS(Events!$F$2:$F$481,$B38,Events!$G$2:$G$481,L$29)+COUNTIFS(Events!$H$2:$H$481,L$29,Events!$E$2:$E$481,$B38)</f>
        <v>24</v>
      </c>
      <c r="M38" s="2">
        <f t="shared" si="2"/>
        <v>96</v>
      </c>
      <c r="O38" s="35" t="s">
        <v>13</v>
      </c>
      <c r="P38" s="35">
        <v>621</v>
      </c>
      <c r="Q38" s="35">
        <v>1061</v>
      </c>
      <c r="R38" s="35">
        <v>839</v>
      </c>
      <c r="S38" s="35">
        <v>659</v>
      </c>
      <c r="T38" s="35">
        <v>965</v>
      </c>
      <c r="U38" s="35">
        <v>889</v>
      </c>
      <c r="V38" s="35">
        <v>311</v>
      </c>
      <c r="W38" s="35">
        <v>126</v>
      </c>
      <c r="X38" s="35">
        <v>580</v>
      </c>
      <c r="Y38" s="35">
        <v>0</v>
      </c>
    </row>
    <row r="39" spans="2:26" x14ac:dyDescent="0.2">
      <c r="B39" s="10" t="s">
        <v>13</v>
      </c>
      <c r="C39" s="2">
        <f>COUNTIFS(Events!$F$2:$F$481,$B39,Events!$G$2:$G$481,C$29)+COUNTIFS(Events!$H$2:$H$481,C$29,Events!$E$2:$E$481,$B39)</f>
        <v>3</v>
      </c>
      <c r="D39" s="2">
        <f>COUNTIFS(Events!$F$2:$F$481,$B39,Events!$G$2:$G$481,D$29)+COUNTIFS(Events!$H$2:$H$481,D$29,Events!$E$2:$E$481,$B39)</f>
        <v>6</v>
      </c>
      <c r="E39" s="2">
        <f>COUNTIFS(Events!$F$2:$F$481,$B39,Events!$G$2:$G$481,E$29)+COUNTIFS(Events!$H$2:$H$481,E$29,Events!$E$2:$E$481,$B39)</f>
        <v>3</v>
      </c>
      <c r="F39" s="2">
        <f>COUNTIFS(Events!$F$2:$F$481,$B39,Events!$G$2:$G$481,F$29)+COUNTIFS(Events!$H$2:$H$481,F$29,Events!$E$2:$E$481,$B39)</f>
        <v>27</v>
      </c>
      <c r="G39" s="2">
        <f>COUNTIFS(Events!$F$2:$F$481,$B39,Events!$G$2:$G$481,G$29)+COUNTIFS(Events!$H$2:$H$481,G$29,Events!$E$2:$E$481,$B39)</f>
        <v>0</v>
      </c>
      <c r="H39" s="2">
        <f>COUNTIFS(Events!$F$2:$F$481,$B39,Events!$G$2:$G$481,H$29)+COUNTIFS(Events!$H$2:$H$481,H$29,Events!$E$2:$E$481,$B39)</f>
        <v>3</v>
      </c>
      <c r="I39" s="2">
        <f>COUNTIFS(Events!$F$2:$F$481,$B39,Events!$G$2:$G$481,I$29)+COUNTIFS(Events!$H$2:$H$481,I$29,Events!$E$2:$E$481,$B39)</f>
        <v>3</v>
      </c>
      <c r="J39" s="2">
        <f>COUNTIFS(Events!$F$2:$F$481,$B39,Events!$G$2:$G$481,J$29)+COUNTIFS(Events!$H$2:$H$481,J$29,Events!$E$2:$E$481,$B39)</f>
        <v>27</v>
      </c>
      <c r="K39" s="2">
        <f>COUNTIFS(Events!$F$2:$F$481,$B39,Events!$G$2:$G$481,K$29)+COUNTIFS(Events!$H$2:$H$481,K$29,Events!$E$2:$E$481,$B39)</f>
        <v>24</v>
      </c>
      <c r="L39" s="2" t="s">
        <v>564</v>
      </c>
      <c r="M39" s="2">
        <f t="shared" si="2"/>
        <v>96</v>
      </c>
    </row>
    <row r="40" spans="2:26" x14ac:dyDescent="0.2">
      <c r="B40" s="2" t="s">
        <v>22</v>
      </c>
      <c r="C40" s="2">
        <f>SUM(C30:C39)</f>
        <v>96</v>
      </c>
      <c r="D40" s="2">
        <f t="shared" ref="D40" si="3">SUM(D30:D39)</f>
        <v>96</v>
      </c>
      <c r="E40" s="2">
        <f t="shared" ref="E40" si="4">SUM(E30:E39)</f>
        <v>96</v>
      </c>
      <c r="F40" s="2">
        <f t="shared" ref="F40" si="5">SUM(F30:F39)</f>
        <v>96</v>
      </c>
      <c r="G40" s="2">
        <f t="shared" ref="G40" si="6">SUM(G30:G39)</f>
        <v>96</v>
      </c>
      <c r="H40" s="2">
        <f t="shared" ref="H40" si="7">SUM(H30:H39)</f>
        <v>96</v>
      </c>
      <c r="I40" s="2">
        <f t="shared" ref="I40" si="8">SUM(I30:I39)</f>
        <v>96</v>
      </c>
      <c r="J40" s="2">
        <f t="shared" ref="J40" si="9">SUM(J30:J39)</f>
        <v>96</v>
      </c>
      <c r="K40" s="2">
        <f t="shared" ref="K40" si="10">SUM(K30:K39)</f>
        <v>96</v>
      </c>
      <c r="L40" s="2">
        <f t="shared" ref="L40" si="11">SUM(L30:L39)</f>
        <v>96</v>
      </c>
      <c r="M40" s="2">
        <f t="shared" ref="M40" si="12">SUM(M30:M39)</f>
        <v>960</v>
      </c>
    </row>
    <row r="42" spans="2:26" x14ac:dyDescent="0.2">
      <c r="P42" s="47" t="s">
        <v>522</v>
      </c>
      <c r="Q42" t="s">
        <v>522</v>
      </c>
      <c r="R42" t="s">
        <v>522</v>
      </c>
      <c r="S42" t="s">
        <v>522</v>
      </c>
      <c r="T42" s="36" t="s">
        <v>522</v>
      </c>
      <c r="U42" t="s">
        <v>523</v>
      </c>
      <c r="V42" t="s">
        <v>523</v>
      </c>
      <c r="W42" t="s">
        <v>523</v>
      </c>
      <c r="X42" t="s">
        <v>523</v>
      </c>
      <c r="Y42" t="s">
        <v>523</v>
      </c>
    </row>
    <row r="43" spans="2:26" x14ac:dyDescent="0.2">
      <c r="B43" s="2" t="s">
        <v>521</v>
      </c>
      <c r="C43" s="8" t="s">
        <v>522</v>
      </c>
      <c r="D43" s="9" t="s">
        <v>523</v>
      </c>
      <c r="E43" s="2" t="s">
        <v>22</v>
      </c>
      <c r="F43" s="2" t="s">
        <v>524</v>
      </c>
      <c r="G43" s="2" t="s">
        <v>525</v>
      </c>
      <c r="O43" t="s">
        <v>521</v>
      </c>
      <c r="P43" t="s">
        <v>7</v>
      </c>
      <c r="Q43" t="s">
        <v>14</v>
      </c>
      <c r="R43" t="s">
        <v>16</v>
      </c>
      <c r="S43" t="s">
        <v>18</v>
      </c>
      <c r="T43" s="36" t="s">
        <v>9</v>
      </c>
      <c r="U43" t="s">
        <v>8</v>
      </c>
      <c r="V43" t="s">
        <v>15</v>
      </c>
      <c r="W43" t="s">
        <v>12</v>
      </c>
      <c r="X43" t="s">
        <v>10</v>
      </c>
      <c r="Y43" t="s">
        <v>17</v>
      </c>
      <c r="Z43" t="s">
        <v>22</v>
      </c>
    </row>
    <row r="44" spans="2:26" x14ac:dyDescent="0.2">
      <c r="B44" s="8" t="s">
        <v>0</v>
      </c>
      <c r="C44" s="2">
        <f>SUMIF($C$28:$L$28,$C$43,C30:L30)</f>
        <v>66</v>
      </c>
      <c r="D44" s="2">
        <f>SUMIF($C$28:$L$28,$D$43,C30:L30)</f>
        <v>30</v>
      </c>
      <c r="E44" s="2">
        <f>SUM(C44:D44)</f>
        <v>96</v>
      </c>
      <c r="F44" s="12">
        <f>C44/$E$44</f>
        <v>0.6875</v>
      </c>
      <c r="G44" s="12">
        <f>D44/$E$44</f>
        <v>0.3125</v>
      </c>
      <c r="O44" t="s">
        <v>0</v>
      </c>
      <c r="P44" t="s">
        <v>564</v>
      </c>
      <c r="Q44">
        <v>21</v>
      </c>
      <c r="R44">
        <v>21</v>
      </c>
      <c r="S44">
        <v>6</v>
      </c>
      <c r="T44" s="36">
        <v>18</v>
      </c>
      <c r="U44">
        <v>6</v>
      </c>
      <c r="V44">
        <v>0</v>
      </c>
      <c r="W44">
        <v>15</v>
      </c>
      <c r="X44">
        <v>6</v>
      </c>
      <c r="Y44">
        <v>3</v>
      </c>
      <c r="Z44">
        <v>96</v>
      </c>
    </row>
    <row r="45" spans="2:26" x14ac:dyDescent="0.2">
      <c r="B45" s="8" t="s">
        <v>11</v>
      </c>
      <c r="C45" s="2">
        <f>SUMIF($C$28:$L$28,$C$43,C32:L32)</f>
        <v>81</v>
      </c>
      <c r="D45" s="2">
        <f>SUMIF($C$28:$L$28,$D$43,C32:L32)</f>
        <v>15</v>
      </c>
      <c r="E45" s="2">
        <f>SUM(C45:D45)</f>
        <v>96</v>
      </c>
      <c r="F45" s="12">
        <f>C45/$E$44</f>
        <v>0.84375</v>
      </c>
      <c r="G45" s="12">
        <f>D45/$E$44</f>
        <v>0.15625</v>
      </c>
      <c r="O45" t="s">
        <v>11</v>
      </c>
      <c r="P45">
        <v>21</v>
      </c>
      <c r="Q45" t="s">
        <v>564</v>
      </c>
      <c r="R45">
        <v>18</v>
      </c>
      <c r="S45">
        <v>18</v>
      </c>
      <c r="T45" s="36">
        <v>24</v>
      </c>
      <c r="U45">
        <v>9</v>
      </c>
      <c r="V45">
        <v>0</v>
      </c>
      <c r="W45">
        <v>0</v>
      </c>
      <c r="X45">
        <v>3</v>
      </c>
      <c r="Y45">
        <v>3</v>
      </c>
      <c r="Z45">
        <v>96</v>
      </c>
    </row>
    <row r="46" spans="2:26" x14ac:dyDescent="0.2">
      <c r="B46" s="8" t="s">
        <v>3</v>
      </c>
      <c r="C46" s="2">
        <f>SUMIF($C$28:$L$28,$C$43,C34:L34)</f>
        <v>72</v>
      </c>
      <c r="D46" s="2">
        <f>SUMIF($C$28:$L$28,$D$43,C34:L34)</f>
        <v>24</v>
      </c>
      <c r="E46" s="2">
        <f>SUM(C46:D46)</f>
        <v>96</v>
      </c>
      <c r="F46" s="12">
        <f>C46/$E$44</f>
        <v>0.75</v>
      </c>
      <c r="G46" s="12">
        <f>D46/$E$44</f>
        <v>0.25</v>
      </c>
      <c r="O46" t="s">
        <v>3</v>
      </c>
      <c r="P46">
        <v>21</v>
      </c>
      <c r="Q46">
        <v>18</v>
      </c>
      <c r="R46" t="s">
        <v>564</v>
      </c>
      <c r="S46">
        <v>9</v>
      </c>
      <c r="T46" s="36">
        <v>24</v>
      </c>
      <c r="U46">
        <v>18</v>
      </c>
      <c r="V46">
        <v>0</v>
      </c>
      <c r="W46">
        <v>6</v>
      </c>
      <c r="X46">
        <v>0</v>
      </c>
      <c r="Y46">
        <v>0</v>
      </c>
      <c r="Z46">
        <v>96</v>
      </c>
    </row>
    <row r="47" spans="2:26" x14ac:dyDescent="0.2">
      <c r="B47" s="8" t="s">
        <v>4</v>
      </c>
      <c r="C47" s="2">
        <f>SUMIF($C$28:$L$28,$C$43,C35:L35)</f>
        <v>42</v>
      </c>
      <c r="D47" s="2">
        <f>SUMIF($C$28:$L$28,$D$43,C35:L35)</f>
        <v>54</v>
      </c>
      <c r="E47" s="2">
        <f>SUM(C47:D47)</f>
        <v>96</v>
      </c>
      <c r="F47" s="12">
        <f>C47/$E$44</f>
        <v>0.4375</v>
      </c>
      <c r="G47" s="12">
        <f>D47/$E$44</f>
        <v>0.5625</v>
      </c>
      <c r="O47" t="s">
        <v>4</v>
      </c>
      <c r="P47">
        <v>6</v>
      </c>
      <c r="Q47">
        <v>18</v>
      </c>
      <c r="R47">
        <v>9</v>
      </c>
      <c r="S47" t="s">
        <v>564</v>
      </c>
      <c r="T47" s="36">
        <v>9</v>
      </c>
      <c r="U47">
        <v>12</v>
      </c>
      <c r="V47">
        <v>15</v>
      </c>
      <c r="W47">
        <v>6</v>
      </c>
      <c r="X47">
        <v>18</v>
      </c>
      <c r="Y47">
        <v>3</v>
      </c>
      <c r="Z47">
        <v>96</v>
      </c>
    </row>
    <row r="48" spans="2:26" x14ac:dyDescent="0.2">
      <c r="B48" s="8" t="s">
        <v>5</v>
      </c>
      <c r="C48" s="2">
        <f>SUMIF($C$28:$L$28,$C$43,C36:L36)</f>
        <v>75</v>
      </c>
      <c r="D48" s="2">
        <f>SUMIF($C$28:$L$28,$D$43,C36:L36)</f>
        <v>21</v>
      </c>
      <c r="E48" s="2">
        <f>SUM(C48:D48)</f>
        <v>96</v>
      </c>
      <c r="F48" s="12">
        <f>C48/$E$44</f>
        <v>0.78125</v>
      </c>
      <c r="G48" s="12">
        <f>D48/$E$44</f>
        <v>0.21875</v>
      </c>
      <c r="O48" s="37" t="s">
        <v>5</v>
      </c>
      <c r="P48" s="37">
        <v>18</v>
      </c>
      <c r="Q48" s="37">
        <v>24</v>
      </c>
      <c r="R48" s="37">
        <v>24</v>
      </c>
      <c r="S48" s="37">
        <v>9</v>
      </c>
      <c r="T48" s="38" t="s">
        <v>564</v>
      </c>
      <c r="U48" s="37">
        <v>9</v>
      </c>
      <c r="V48" s="37">
        <v>0</v>
      </c>
      <c r="W48" s="37">
        <v>0</v>
      </c>
      <c r="X48" s="37">
        <v>9</v>
      </c>
      <c r="Y48" s="37">
        <v>3</v>
      </c>
      <c r="Z48" s="37">
        <v>96</v>
      </c>
    </row>
    <row r="49" spans="2:27" x14ac:dyDescent="0.2">
      <c r="B49" s="9" t="s">
        <v>12</v>
      </c>
      <c r="C49" s="2">
        <f>SUMIF($C$28:$L$28,$C$43,C37:L37)</f>
        <v>27</v>
      </c>
      <c r="D49" s="2">
        <f>SUMIF($C$28:$L$28,$D$43,C37:L37)</f>
        <v>69</v>
      </c>
      <c r="E49" s="2">
        <f>SUM(C49:D49)</f>
        <v>96</v>
      </c>
      <c r="F49" s="12">
        <f>C49/$E$44</f>
        <v>0.28125</v>
      </c>
      <c r="G49" s="12">
        <f>D49/$E$44</f>
        <v>0.71875</v>
      </c>
      <c r="O49" t="s">
        <v>1</v>
      </c>
      <c r="P49">
        <v>6</v>
      </c>
      <c r="Q49">
        <v>9</v>
      </c>
      <c r="R49">
        <v>18</v>
      </c>
      <c r="S49">
        <v>12</v>
      </c>
      <c r="T49" s="36">
        <v>9</v>
      </c>
      <c r="U49" t="s">
        <v>564</v>
      </c>
      <c r="V49">
        <v>15</v>
      </c>
      <c r="W49">
        <v>3</v>
      </c>
      <c r="X49">
        <v>18</v>
      </c>
      <c r="Y49">
        <v>6</v>
      </c>
      <c r="Z49">
        <v>96</v>
      </c>
    </row>
    <row r="50" spans="2:27" x14ac:dyDescent="0.2">
      <c r="B50" s="9" t="s">
        <v>6</v>
      </c>
      <c r="C50" s="2">
        <f>SUMIF($C$28:$L$28,$C$43,C38:L38)</f>
        <v>36</v>
      </c>
      <c r="D50" s="2">
        <f>SUMIF($C$28:$L$28,$D$43,C38:L38)</f>
        <v>60</v>
      </c>
      <c r="E50" s="2">
        <f>SUM(C50:D50)</f>
        <v>96</v>
      </c>
      <c r="F50" s="12">
        <f>C50/$E$44</f>
        <v>0.375</v>
      </c>
      <c r="G50" s="12">
        <f>D50/$E$44</f>
        <v>0.625</v>
      </c>
      <c r="O50" t="s">
        <v>2</v>
      </c>
      <c r="P50">
        <v>0</v>
      </c>
      <c r="Q50">
        <v>0</v>
      </c>
      <c r="R50">
        <v>0</v>
      </c>
      <c r="S50">
        <v>15</v>
      </c>
      <c r="T50" s="36">
        <v>0</v>
      </c>
      <c r="U50">
        <v>15</v>
      </c>
      <c r="V50" t="s">
        <v>564</v>
      </c>
      <c r="W50">
        <v>30</v>
      </c>
      <c r="X50">
        <v>9</v>
      </c>
      <c r="Y50">
        <v>27</v>
      </c>
      <c r="Z50">
        <v>96</v>
      </c>
      <c r="AA50" s="37"/>
    </row>
    <row r="51" spans="2:27" x14ac:dyDescent="0.2">
      <c r="B51" s="10" t="s">
        <v>13</v>
      </c>
      <c r="C51" s="2">
        <f>SUMIF($C$28:$L$28,$C$43,C39:L39)</f>
        <v>12</v>
      </c>
      <c r="D51" s="2">
        <f>SUMIF($C$28:$L$28,$D$43,C39:L39)</f>
        <v>84</v>
      </c>
      <c r="E51" s="2">
        <f>SUM(C51:D51)</f>
        <v>96</v>
      </c>
      <c r="F51" s="12">
        <f>C51/$E$44</f>
        <v>0.125</v>
      </c>
      <c r="G51" s="12">
        <f>D51/$E$44</f>
        <v>0.875</v>
      </c>
      <c r="O51" t="s">
        <v>12</v>
      </c>
      <c r="P51">
        <v>15</v>
      </c>
      <c r="Q51">
        <v>0</v>
      </c>
      <c r="R51">
        <v>6</v>
      </c>
      <c r="S51">
        <v>6</v>
      </c>
      <c r="T51" s="36">
        <v>0</v>
      </c>
      <c r="U51">
        <v>3</v>
      </c>
      <c r="V51">
        <v>30</v>
      </c>
      <c r="W51" t="s">
        <v>564</v>
      </c>
      <c r="X51">
        <v>9</v>
      </c>
      <c r="Y51">
        <v>27</v>
      </c>
      <c r="Z51">
        <v>96</v>
      </c>
    </row>
    <row r="52" spans="2:27" x14ac:dyDescent="0.2">
      <c r="B52" s="9" t="s">
        <v>1</v>
      </c>
      <c r="C52" s="2">
        <f>SUMIF($C$28:$L$28,$C$43,C31:L31)</f>
        <v>54</v>
      </c>
      <c r="D52" s="2">
        <f>SUMIF($C$28:$L$28,$D$43,C31:L31)</f>
        <v>42</v>
      </c>
      <c r="E52" s="2">
        <f>SUM(C52:D52)</f>
        <v>96</v>
      </c>
      <c r="F52" s="12">
        <f>C52/$E$44</f>
        <v>0.5625</v>
      </c>
      <c r="G52" s="12">
        <f>D52/$E$44</f>
        <v>0.4375</v>
      </c>
      <c r="O52" t="s">
        <v>6</v>
      </c>
      <c r="P52">
        <v>6</v>
      </c>
      <c r="Q52">
        <v>3</v>
      </c>
      <c r="R52">
        <v>0</v>
      </c>
      <c r="S52">
        <v>18</v>
      </c>
      <c r="T52" s="36">
        <v>9</v>
      </c>
      <c r="U52">
        <v>18</v>
      </c>
      <c r="V52">
        <v>9</v>
      </c>
      <c r="W52">
        <v>9</v>
      </c>
      <c r="X52" t="s">
        <v>564</v>
      </c>
      <c r="Y52">
        <v>24</v>
      </c>
      <c r="Z52">
        <v>96</v>
      </c>
    </row>
    <row r="53" spans="2:27" x14ac:dyDescent="0.2">
      <c r="B53" s="9" t="s">
        <v>2</v>
      </c>
      <c r="C53" s="2">
        <f>SUMIF($C$28:$L$28,$C$43,C33:L33)</f>
        <v>15</v>
      </c>
      <c r="D53" s="2">
        <f>SUMIF($C$28:$L$28,$D$43,C33:L33)</f>
        <v>81</v>
      </c>
      <c r="E53" s="2">
        <f>SUM(C53:D53)</f>
        <v>96</v>
      </c>
      <c r="F53" s="12">
        <f>C53/$E$44</f>
        <v>0.15625</v>
      </c>
      <c r="G53" s="12">
        <f>D53/$E$44</f>
        <v>0.84375</v>
      </c>
      <c r="O53" t="s">
        <v>13</v>
      </c>
      <c r="P53">
        <v>3</v>
      </c>
      <c r="Q53">
        <v>3</v>
      </c>
      <c r="R53">
        <v>0</v>
      </c>
      <c r="S53">
        <v>3</v>
      </c>
      <c r="T53" s="36">
        <v>3</v>
      </c>
      <c r="U53">
        <v>6</v>
      </c>
      <c r="V53">
        <v>27</v>
      </c>
      <c r="W53">
        <v>27</v>
      </c>
      <c r="X53">
        <v>24</v>
      </c>
      <c r="Y53" t="s">
        <v>564</v>
      </c>
      <c r="Z53">
        <v>96</v>
      </c>
    </row>
    <row r="54" spans="2:27" x14ac:dyDescent="0.2">
      <c r="O54" t="s">
        <v>22</v>
      </c>
      <c r="P54">
        <v>96</v>
      </c>
      <c r="Q54">
        <v>96</v>
      </c>
      <c r="R54">
        <v>96</v>
      </c>
      <c r="S54">
        <v>96</v>
      </c>
      <c r="T54" s="36">
        <v>96</v>
      </c>
      <c r="U54">
        <v>96</v>
      </c>
      <c r="V54">
        <v>96</v>
      </c>
      <c r="W54">
        <v>96</v>
      </c>
      <c r="X54">
        <v>96</v>
      </c>
      <c r="Y54">
        <v>96</v>
      </c>
      <c r="Z54">
        <v>960</v>
      </c>
    </row>
    <row r="55" spans="2:27" x14ac:dyDescent="0.2">
      <c r="T55" s="36"/>
    </row>
  </sheetData>
  <conditionalFormatting sqref="C16:L25">
    <cfRule type="cellIs" dxfId="1" priority="1" operator="equal">
      <formula>0</formula>
    </cfRule>
  </conditionalFormatting>
  <conditionalFormatting sqref="C30:L39">
    <cfRule type="cellIs" dxfId="0" priority="3" operator="equal">
      <formula>0</formula>
    </cfRule>
  </conditionalFormatting>
  <conditionalFormatting sqref="P44:Y5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C29E-9D5F-C146-82DB-032A609238F2}">
  <dimension ref="A1:L481"/>
  <sheetViews>
    <sheetView topLeftCell="A108" workbookViewId="0"/>
  </sheetViews>
  <sheetFormatPr baseColWidth="10" defaultColWidth="8.83203125" defaultRowHeight="16" x14ac:dyDescent="0.2"/>
  <cols>
    <col min="1" max="1" width="20.33203125" customWidth="1"/>
    <col min="2" max="2" width="15.83203125" style="7" customWidth="1"/>
    <col min="3" max="4" width="22.83203125" bestFit="1" customWidth="1"/>
    <col min="5" max="5" width="12.5" bestFit="1" customWidth="1"/>
    <col min="6" max="6" width="12.83203125" bestFit="1" customWidth="1"/>
    <col min="7" max="7" width="13.33203125" bestFit="1" customWidth="1"/>
    <col min="8" max="8" width="13.6640625" bestFit="1" customWidth="1"/>
    <col min="9" max="9" width="13.6640625" customWidth="1"/>
    <col min="10" max="10" width="22.83203125" bestFit="1" customWidth="1"/>
    <col min="11" max="11" width="14.1640625" bestFit="1" customWidth="1"/>
    <col min="12" max="12" width="5.5" bestFit="1" customWidth="1"/>
  </cols>
  <sheetData>
    <row r="1" spans="1:12" x14ac:dyDescent="0.2">
      <c r="A1" t="s">
        <v>23</v>
      </c>
      <c r="B1" s="6" t="s">
        <v>24</v>
      </c>
      <c r="C1" t="s">
        <v>25</v>
      </c>
      <c r="D1" t="s">
        <v>26</v>
      </c>
      <c r="E1" t="s">
        <v>517</v>
      </c>
      <c r="F1" t="s">
        <v>518</v>
      </c>
      <c r="G1" t="s">
        <v>519</v>
      </c>
      <c r="H1" t="s">
        <v>520</v>
      </c>
      <c r="J1" t="s">
        <v>32</v>
      </c>
      <c r="K1" s="2" t="s">
        <v>0</v>
      </c>
      <c r="L1" s="2" t="s">
        <v>7</v>
      </c>
    </row>
    <row r="2" spans="1:12" x14ac:dyDescent="0.2">
      <c r="A2" t="s">
        <v>27</v>
      </c>
      <c r="B2" s="7">
        <v>45069.729166666672</v>
      </c>
      <c r="C2" t="s">
        <v>28</v>
      </c>
      <c r="D2" t="s">
        <v>29</v>
      </c>
      <c r="E2" t="str">
        <f t="shared" ref="E2:E33" si="0">VLOOKUP(C2,$J$1:$L$10,2,FALSE)</f>
        <v>Grand Junction</v>
      </c>
      <c r="F2" t="str">
        <f t="shared" ref="F2:F65" si="1">VLOOKUP(D2,$J$1:$L$10,2,FALSE)</f>
        <v>Ogden</v>
      </c>
      <c r="G2" t="str">
        <f t="shared" ref="G2:G65" si="2">VLOOKUP(C2,$J$1:$L$10,3,FALSE)</f>
        <v>GJJ</v>
      </c>
      <c r="H2" t="str">
        <f t="shared" ref="H2:H65" si="3">VLOOKUP(D2,$J$1:$L$10,3,FALSE)</f>
        <v>OGD</v>
      </c>
      <c r="J2" t="s">
        <v>38</v>
      </c>
      <c r="K2" s="2" t="s">
        <v>1</v>
      </c>
      <c r="L2" s="2" t="s">
        <v>8</v>
      </c>
    </row>
    <row r="3" spans="1:12" x14ac:dyDescent="0.2">
      <c r="A3" t="s">
        <v>30</v>
      </c>
      <c r="B3" s="7">
        <v>45069.732638888891</v>
      </c>
      <c r="C3" t="s">
        <v>31</v>
      </c>
      <c r="D3" t="s">
        <v>32</v>
      </c>
      <c r="E3" t="str">
        <f t="shared" si="0"/>
        <v>Missoula</v>
      </c>
      <c r="F3" t="str">
        <f t="shared" si="1"/>
        <v>Billings</v>
      </c>
      <c r="G3" t="str">
        <f t="shared" si="2"/>
        <v>MIS</v>
      </c>
      <c r="H3" t="str">
        <f t="shared" si="3"/>
        <v>BIL</v>
      </c>
      <c r="J3" t="s">
        <v>34</v>
      </c>
      <c r="K3" s="2" t="s">
        <v>11</v>
      </c>
      <c r="L3" s="2" t="s">
        <v>14</v>
      </c>
    </row>
    <row r="4" spans="1:12" x14ac:dyDescent="0.2">
      <c r="A4" t="s">
        <v>33</v>
      </c>
      <c r="B4" s="7">
        <v>45069.75</v>
      </c>
      <c r="C4" t="s">
        <v>34</v>
      </c>
      <c r="D4" t="s">
        <v>35</v>
      </c>
      <c r="E4" t="str">
        <f t="shared" si="0"/>
        <v>Glacier</v>
      </c>
      <c r="F4" t="str">
        <f t="shared" si="1"/>
        <v>Great Falls</v>
      </c>
      <c r="G4" t="str">
        <f t="shared" si="2"/>
        <v>GRR</v>
      </c>
      <c r="H4" t="str">
        <f t="shared" si="3"/>
        <v>GFV</v>
      </c>
      <c r="J4" t="s">
        <v>28</v>
      </c>
      <c r="K4" s="2" t="s">
        <v>2</v>
      </c>
      <c r="L4" s="2" t="s">
        <v>15</v>
      </c>
    </row>
    <row r="5" spans="1:12" x14ac:dyDescent="0.2">
      <c r="A5" t="s">
        <v>36</v>
      </c>
      <c r="B5" s="7">
        <v>45069.753472222226</v>
      </c>
      <c r="C5" t="s">
        <v>37</v>
      </c>
      <c r="D5" t="s">
        <v>38</v>
      </c>
      <c r="E5" t="str">
        <f t="shared" si="0"/>
        <v>Idaho Falls</v>
      </c>
      <c r="F5" t="str">
        <f t="shared" si="1"/>
        <v>Boise</v>
      </c>
      <c r="G5" t="str">
        <f t="shared" si="2"/>
        <v>IDF</v>
      </c>
      <c r="H5" t="str">
        <f t="shared" si="3"/>
        <v>BOI</v>
      </c>
      <c r="J5" t="s">
        <v>35</v>
      </c>
      <c r="K5" s="2" t="s">
        <v>3</v>
      </c>
      <c r="L5" s="2" t="s">
        <v>16</v>
      </c>
    </row>
    <row r="6" spans="1:12" x14ac:dyDescent="0.2">
      <c r="A6" t="s">
        <v>39</v>
      </c>
      <c r="B6" s="7">
        <v>45069.753472222226</v>
      </c>
      <c r="C6" t="s">
        <v>40</v>
      </c>
      <c r="D6" t="s">
        <v>41</v>
      </c>
      <c r="E6" t="str">
        <f t="shared" si="0"/>
        <v>Rocky Mountain</v>
      </c>
      <c r="F6" t="str">
        <f t="shared" si="1"/>
        <v>NoCo</v>
      </c>
      <c r="G6" t="str">
        <f t="shared" si="2"/>
        <v>RMV</v>
      </c>
      <c r="H6" t="str">
        <f t="shared" si="3"/>
        <v>NoCo</v>
      </c>
      <c r="J6" t="s">
        <v>37</v>
      </c>
      <c r="K6" s="2" t="s">
        <v>4</v>
      </c>
      <c r="L6" s="2" t="s">
        <v>18</v>
      </c>
    </row>
    <row r="7" spans="1:12" x14ac:dyDescent="0.2">
      <c r="A7" t="s">
        <v>42</v>
      </c>
      <c r="B7" s="7">
        <v>45070.729166666672</v>
      </c>
      <c r="C7" t="s">
        <v>28</v>
      </c>
      <c r="D7" t="s">
        <v>29</v>
      </c>
      <c r="E7" t="str">
        <f t="shared" si="0"/>
        <v>Grand Junction</v>
      </c>
      <c r="F7" t="str">
        <f t="shared" si="1"/>
        <v>Ogden</v>
      </c>
      <c r="G7" t="str">
        <f t="shared" si="2"/>
        <v>GJJ</v>
      </c>
      <c r="H7" t="str">
        <f t="shared" si="3"/>
        <v>OGD</v>
      </c>
      <c r="J7" t="s">
        <v>31</v>
      </c>
      <c r="K7" s="2" t="s">
        <v>5</v>
      </c>
      <c r="L7" s="2" t="s">
        <v>9</v>
      </c>
    </row>
    <row r="8" spans="1:12" x14ac:dyDescent="0.2">
      <c r="A8" t="s">
        <v>43</v>
      </c>
      <c r="B8" s="7">
        <v>45070.732638888891</v>
      </c>
      <c r="C8" t="s">
        <v>31</v>
      </c>
      <c r="D8" t="s">
        <v>32</v>
      </c>
      <c r="E8" t="str">
        <f t="shared" si="0"/>
        <v>Missoula</v>
      </c>
      <c r="F8" t="str">
        <f t="shared" si="1"/>
        <v>Billings</v>
      </c>
      <c r="G8" t="str">
        <f t="shared" si="2"/>
        <v>MIS</v>
      </c>
      <c r="H8" t="str">
        <f t="shared" si="3"/>
        <v>BIL</v>
      </c>
      <c r="J8" t="s">
        <v>41</v>
      </c>
      <c r="K8" s="2" t="s">
        <v>12</v>
      </c>
      <c r="L8" s="2" t="s">
        <v>12</v>
      </c>
    </row>
    <row r="9" spans="1:12" x14ac:dyDescent="0.2">
      <c r="A9" t="s">
        <v>44</v>
      </c>
      <c r="B9" s="7">
        <v>45070.75</v>
      </c>
      <c r="C9" t="s">
        <v>34</v>
      </c>
      <c r="D9" t="s">
        <v>35</v>
      </c>
      <c r="E9" t="str">
        <f t="shared" si="0"/>
        <v>Glacier</v>
      </c>
      <c r="F9" t="str">
        <f t="shared" si="1"/>
        <v>Great Falls</v>
      </c>
      <c r="G9" t="str">
        <f t="shared" si="2"/>
        <v>GRR</v>
      </c>
      <c r="H9" t="str">
        <f t="shared" si="3"/>
        <v>GFV</v>
      </c>
      <c r="J9" t="s">
        <v>29</v>
      </c>
      <c r="K9" s="2" t="s">
        <v>6</v>
      </c>
      <c r="L9" s="2" t="s">
        <v>10</v>
      </c>
    </row>
    <row r="10" spans="1:12" x14ac:dyDescent="0.2">
      <c r="A10" t="s">
        <v>45</v>
      </c>
      <c r="B10" s="7">
        <v>45070.753472222226</v>
      </c>
      <c r="C10" t="s">
        <v>37</v>
      </c>
      <c r="D10" t="s">
        <v>38</v>
      </c>
      <c r="E10" t="str">
        <f t="shared" si="0"/>
        <v>Idaho Falls</v>
      </c>
      <c r="F10" t="str">
        <f t="shared" si="1"/>
        <v>Boise</v>
      </c>
      <c r="G10" t="str">
        <f t="shared" si="2"/>
        <v>IDF</v>
      </c>
      <c r="H10" t="str">
        <f t="shared" si="3"/>
        <v>BOI</v>
      </c>
      <c r="J10" t="s">
        <v>40</v>
      </c>
      <c r="K10" s="5" t="s">
        <v>13</v>
      </c>
      <c r="L10" s="2" t="s">
        <v>17</v>
      </c>
    </row>
    <row r="11" spans="1:12" x14ac:dyDescent="0.2">
      <c r="A11" t="s">
        <v>46</v>
      </c>
      <c r="B11" s="7">
        <v>45070.753472222226</v>
      </c>
      <c r="C11" t="s">
        <v>40</v>
      </c>
      <c r="D11" t="s">
        <v>41</v>
      </c>
      <c r="E11" t="str">
        <f t="shared" si="0"/>
        <v>Rocky Mountain</v>
      </c>
      <c r="F11" t="str">
        <f t="shared" si="1"/>
        <v>NoCo</v>
      </c>
      <c r="G11" t="str">
        <f t="shared" si="2"/>
        <v>RMV</v>
      </c>
      <c r="H11" t="str">
        <f t="shared" si="3"/>
        <v>NoCo</v>
      </c>
    </row>
    <row r="12" spans="1:12" x14ac:dyDescent="0.2">
      <c r="A12" t="s">
        <v>47</v>
      </c>
      <c r="B12" s="7">
        <v>45071.729166666672</v>
      </c>
      <c r="C12" t="s">
        <v>28</v>
      </c>
      <c r="D12" t="s">
        <v>29</v>
      </c>
      <c r="E12" t="str">
        <f t="shared" si="0"/>
        <v>Grand Junction</v>
      </c>
      <c r="F12" t="str">
        <f t="shared" si="1"/>
        <v>Ogden</v>
      </c>
      <c r="G12" t="str">
        <f t="shared" si="2"/>
        <v>GJJ</v>
      </c>
      <c r="H12" t="str">
        <f t="shared" si="3"/>
        <v>OGD</v>
      </c>
    </row>
    <row r="13" spans="1:12" x14ac:dyDescent="0.2">
      <c r="A13" t="s">
        <v>48</v>
      </c>
      <c r="B13" s="7">
        <v>45071.732638888891</v>
      </c>
      <c r="C13" t="s">
        <v>31</v>
      </c>
      <c r="D13" t="s">
        <v>32</v>
      </c>
      <c r="E13" t="str">
        <f t="shared" si="0"/>
        <v>Missoula</v>
      </c>
      <c r="F13" t="str">
        <f t="shared" si="1"/>
        <v>Billings</v>
      </c>
      <c r="G13" t="str">
        <f t="shared" si="2"/>
        <v>MIS</v>
      </c>
      <c r="H13" t="str">
        <f t="shared" si="3"/>
        <v>BIL</v>
      </c>
    </row>
    <row r="14" spans="1:12" x14ac:dyDescent="0.2">
      <c r="A14" t="s">
        <v>49</v>
      </c>
      <c r="B14" s="7">
        <v>45071.75</v>
      </c>
      <c r="C14" t="s">
        <v>34</v>
      </c>
      <c r="D14" t="s">
        <v>35</v>
      </c>
      <c r="E14" t="str">
        <f t="shared" si="0"/>
        <v>Glacier</v>
      </c>
      <c r="F14" t="str">
        <f t="shared" si="1"/>
        <v>Great Falls</v>
      </c>
      <c r="G14" t="str">
        <f t="shared" si="2"/>
        <v>GRR</v>
      </c>
      <c r="H14" t="str">
        <f t="shared" si="3"/>
        <v>GFV</v>
      </c>
    </row>
    <row r="15" spans="1:12" x14ac:dyDescent="0.2">
      <c r="A15" t="s">
        <v>50</v>
      </c>
      <c r="B15" s="7">
        <v>45071.753472222226</v>
      </c>
      <c r="C15" t="s">
        <v>37</v>
      </c>
      <c r="D15" t="s">
        <v>38</v>
      </c>
      <c r="E15" t="str">
        <f t="shared" si="0"/>
        <v>Idaho Falls</v>
      </c>
      <c r="F15" t="str">
        <f t="shared" si="1"/>
        <v>Boise</v>
      </c>
      <c r="G15" t="str">
        <f t="shared" si="2"/>
        <v>IDF</v>
      </c>
      <c r="H15" t="str">
        <f t="shared" si="3"/>
        <v>BOI</v>
      </c>
    </row>
    <row r="16" spans="1:12" x14ac:dyDescent="0.2">
      <c r="A16" t="s">
        <v>51</v>
      </c>
      <c r="B16" s="7">
        <v>45071.753472222226</v>
      </c>
      <c r="C16" t="s">
        <v>40</v>
      </c>
      <c r="D16" t="s">
        <v>41</v>
      </c>
      <c r="E16" t="str">
        <f t="shared" si="0"/>
        <v>Rocky Mountain</v>
      </c>
      <c r="F16" t="str">
        <f t="shared" si="1"/>
        <v>NoCo</v>
      </c>
      <c r="G16" t="str">
        <f t="shared" si="2"/>
        <v>RMV</v>
      </c>
      <c r="H16" t="str">
        <f t="shared" si="3"/>
        <v>NoCo</v>
      </c>
    </row>
    <row r="17" spans="1:8" x14ac:dyDescent="0.2">
      <c r="A17" t="s">
        <v>52</v>
      </c>
      <c r="B17" s="7">
        <v>45072.729166666672</v>
      </c>
      <c r="C17" t="s">
        <v>28</v>
      </c>
      <c r="D17" t="s">
        <v>29</v>
      </c>
      <c r="E17" t="str">
        <f t="shared" si="0"/>
        <v>Grand Junction</v>
      </c>
      <c r="F17" t="str">
        <f t="shared" si="1"/>
        <v>Ogden</v>
      </c>
      <c r="G17" t="str">
        <f t="shared" si="2"/>
        <v>GJJ</v>
      </c>
      <c r="H17" t="str">
        <f t="shared" si="3"/>
        <v>OGD</v>
      </c>
    </row>
    <row r="18" spans="1:8" x14ac:dyDescent="0.2">
      <c r="A18" t="s">
        <v>53</v>
      </c>
      <c r="B18" s="7">
        <v>45072.732638888891</v>
      </c>
      <c r="C18" t="s">
        <v>31</v>
      </c>
      <c r="D18" t="s">
        <v>32</v>
      </c>
      <c r="E18" t="str">
        <f t="shared" si="0"/>
        <v>Missoula</v>
      </c>
      <c r="F18" t="str">
        <f t="shared" si="1"/>
        <v>Billings</v>
      </c>
      <c r="G18" t="str">
        <f t="shared" si="2"/>
        <v>MIS</v>
      </c>
      <c r="H18" t="str">
        <f t="shared" si="3"/>
        <v>BIL</v>
      </c>
    </row>
    <row r="19" spans="1:8" x14ac:dyDescent="0.2">
      <c r="A19" t="s">
        <v>54</v>
      </c>
      <c r="B19" s="7">
        <v>45072.75</v>
      </c>
      <c r="C19" t="s">
        <v>34</v>
      </c>
      <c r="D19" t="s">
        <v>35</v>
      </c>
      <c r="E19" t="str">
        <f t="shared" si="0"/>
        <v>Glacier</v>
      </c>
      <c r="F19" t="str">
        <f t="shared" si="1"/>
        <v>Great Falls</v>
      </c>
      <c r="G19" t="str">
        <f t="shared" si="2"/>
        <v>GRR</v>
      </c>
      <c r="H19" t="str">
        <f t="shared" si="3"/>
        <v>GFV</v>
      </c>
    </row>
    <row r="20" spans="1:8" x14ac:dyDescent="0.2">
      <c r="A20" t="s">
        <v>55</v>
      </c>
      <c r="B20" s="7">
        <v>45072.753472222226</v>
      </c>
      <c r="C20" t="s">
        <v>38</v>
      </c>
      <c r="D20" t="s">
        <v>37</v>
      </c>
      <c r="E20" t="str">
        <f t="shared" si="0"/>
        <v>Boise</v>
      </c>
      <c r="F20" t="str">
        <f t="shared" si="1"/>
        <v>Idaho Falls</v>
      </c>
      <c r="G20" t="str">
        <f t="shared" si="2"/>
        <v>BOI</v>
      </c>
      <c r="H20" t="str">
        <f t="shared" si="3"/>
        <v>IDF</v>
      </c>
    </row>
    <row r="21" spans="1:8" x14ac:dyDescent="0.2">
      <c r="A21" t="s">
        <v>56</v>
      </c>
      <c r="B21" s="7">
        <v>45072.753472222226</v>
      </c>
      <c r="C21" t="s">
        <v>40</v>
      </c>
      <c r="D21" t="s">
        <v>41</v>
      </c>
      <c r="E21" t="str">
        <f t="shared" si="0"/>
        <v>Rocky Mountain</v>
      </c>
      <c r="F21" t="str">
        <f t="shared" si="1"/>
        <v>NoCo</v>
      </c>
      <c r="G21" t="str">
        <f t="shared" si="2"/>
        <v>RMV</v>
      </c>
      <c r="H21" t="str">
        <f t="shared" si="3"/>
        <v>NoCo</v>
      </c>
    </row>
    <row r="22" spans="1:8" x14ac:dyDescent="0.2">
      <c r="A22" t="s">
        <v>57</v>
      </c>
      <c r="B22" s="7">
        <v>45073.729166666672</v>
      </c>
      <c r="C22" t="s">
        <v>28</v>
      </c>
      <c r="D22" t="s">
        <v>29</v>
      </c>
      <c r="E22" t="str">
        <f t="shared" si="0"/>
        <v>Grand Junction</v>
      </c>
      <c r="F22" t="str">
        <f t="shared" si="1"/>
        <v>Ogden</v>
      </c>
      <c r="G22" t="str">
        <f t="shared" si="2"/>
        <v>GJJ</v>
      </c>
      <c r="H22" t="str">
        <f t="shared" si="3"/>
        <v>OGD</v>
      </c>
    </row>
    <row r="23" spans="1:8" x14ac:dyDescent="0.2">
      <c r="A23" t="s">
        <v>58</v>
      </c>
      <c r="B23" s="7">
        <v>45073.732638888891</v>
      </c>
      <c r="C23" t="s">
        <v>31</v>
      </c>
      <c r="D23" t="s">
        <v>32</v>
      </c>
      <c r="E23" t="str">
        <f t="shared" si="0"/>
        <v>Missoula</v>
      </c>
      <c r="F23" t="str">
        <f t="shared" si="1"/>
        <v>Billings</v>
      </c>
      <c r="G23" t="str">
        <f t="shared" si="2"/>
        <v>MIS</v>
      </c>
      <c r="H23" t="str">
        <f t="shared" si="3"/>
        <v>BIL</v>
      </c>
    </row>
    <row r="24" spans="1:8" x14ac:dyDescent="0.2">
      <c r="A24" t="s">
        <v>59</v>
      </c>
      <c r="B24" s="7">
        <v>45073.732638888891</v>
      </c>
      <c r="C24" t="s">
        <v>41</v>
      </c>
      <c r="D24" t="s">
        <v>40</v>
      </c>
      <c r="E24" t="str">
        <f t="shared" si="0"/>
        <v>NoCo</v>
      </c>
      <c r="F24" t="str">
        <f t="shared" si="1"/>
        <v>Rocky Mountain</v>
      </c>
      <c r="G24" t="str">
        <f t="shared" si="2"/>
        <v>NoCo</v>
      </c>
      <c r="H24" t="str">
        <f t="shared" si="3"/>
        <v>RMV</v>
      </c>
    </row>
    <row r="25" spans="1:8" x14ac:dyDescent="0.2">
      <c r="A25" t="s">
        <v>60</v>
      </c>
      <c r="B25" s="7">
        <v>45073.75</v>
      </c>
      <c r="C25" t="s">
        <v>34</v>
      </c>
      <c r="D25" t="s">
        <v>35</v>
      </c>
      <c r="E25" t="str">
        <f t="shared" si="0"/>
        <v>Glacier</v>
      </c>
      <c r="F25" t="str">
        <f t="shared" si="1"/>
        <v>Great Falls</v>
      </c>
      <c r="G25" t="str">
        <f t="shared" si="2"/>
        <v>GRR</v>
      </c>
      <c r="H25" t="str">
        <f t="shared" si="3"/>
        <v>GFV</v>
      </c>
    </row>
    <row r="26" spans="1:8" x14ac:dyDescent="0.2">
      <c r="A26" t="s">
        <v>61</v>
      </c>
      <c r="B26" s="7">
        <v>45073.753472222226</v>
      </c>
      <c r="C26" t="s">
        <v>38</v>
      </c>
      <c r="D26" t="s">
        <v>37</v>
      </c>
      <c r="E26" t="str">
        <f t="shared" si="0"/>
        <v>Boise</v>
      </c>
      <c r="F26" t="str">
        <f t="shared" si="1"/>
        <v>Idaho Falls</v>
      </c>
      <c r="G26" t="str">
        <f t="shared" si="2"/>
        <v>BOI</v>
      </c>
      <c r="H26" t="str">
        <f t="shared" si="3"/>
        <v>IDF</v>
      </c>
    </row>
    <row r="27" spans="1:8" x14ac:dyDescent="0.2">
      <c r="A27" t="s">
        <v>62</v>
      </c>
      <c r="B27" s="7">
        <v>45074.4375</v>
      </c>
      <c r="C27" t="s">
        <v>34</v>
      </c>
      <c r="D27" t="s">
        <v>35</v>
      </c>
      <c r="E27" t="str">
        <f t="shared" si="0"/>
        <v>Glacier</v>
      </c>
      <c r="F27" t="str">
        <f t="shared" si="1"/>
        <v>Great Falls</v>
      </c>
      <c r="G27" t="str">
        <f t="shared" si="2"/>
        <v>GRR</v>
      </c>
      <c r="H27" t="str">
        <f t="shared" si="3"/>
        <v>GFV</v>
      </c>
    </row>
    <row r="28" spans="1:8" x14ac:dyDescent="0.2">
      <c r="A28" t="s">
        <v>63</v>
      </c>
      <c r="B28" s="7">
        <v>45074.503472222226</v>
      </c>
      <c r="C28" t="s">
        <v>31</v>
      </c>
      <c r="D28" t="s">
        <v>32</v>
      </c>
      <c r="E28" t="str">
        <f t="shared" si="0"/>
        <v>Missoula</v>
      </c>
      <c r="F28" t="str">
        <f t="shared" si="1"/>
        <v>Billings</v>
      </c>
      <c r="G28" t="str">
        <f t="shared" si="2"/>
        <v>MIS</v>
      </c>
      <c r="H28" t="str">
        <f t="shared" si="3"/>
        <v>BIL</v>
      </c>
    </row>
    <row r="29" spans="1:8" x14ac:dyDescent="0.2">
      <c r="A29" t="s">
        <v>64</v>
      </c>
      <c r="B29" s="7">
        <v>45074.503472222226</v>
      </c>
      <c r="C29" t="s">
        <v>41</v>
      </c>
      <c r="D29" t="s">
        <v>40</v>
      </c>
      <c r="E29" t="str">
        <f t="shared" si="0"/>
        <v>NoCo</v>
      </c>
      <c r="F29" t="str">
        <f t="shared" si="1"/>
        <v>Rocky Mountain</v>
      </c>
      <c r="G29" t="str">
        <f t="shared" si="2"/>
        <v>NoCo</v>
      </c>
      <c r="H29" t="str">
        <f t="shared" si="3"/>
        <v>RMV</v>
      </c>
    </row>
    <row r="30" spans="1:8" x14ac:dyDescent="0.2">
      <c r="A30" t="s">
        <v>65</v>
      </c>
      <c r="B30" s="7">
        <v>45074.541666666672</v>
      </c>
      <c r="C30" t="s">
        <v>38</v>
      </c>
      <c r="D30" t="s">
        <v>37</v>
      </c>
      <c r="E30" t="str">
        <f t="shared" si="0"/>
        <v>Boise</v>
      </c>
      <c r="F30" t="str">
        <f t="shared" si="1"/>
        <v>Idaho Falls</v>
      </c>
      <c r="G30" t="str">
        <f t="shared" si="2"/>
        <v>BOI</v>
      </c>
      <c r="H30" t="str">
        <f t="shared" si="3"/>
        <v>IDF</v>
      </c>
    </row>
    <row r="31" spans="1:8" x14ac:dyDescent="0.2">
      <c r="A31" t="s">
        <v>66</v>
      </c>
      <c r="B31" s="7">
        <v>45074.541666666672</v>
      </c>
      <c r="C31" t="s">
        <v>28</v>
      </c>
      <c r="D31" t="s">
        <v>29</v>
      </c>
      <c r="E31" t="str">
        <f t="shared" si="0"/>
        <v>Grand Junction</v>
      </c>
      <c r="F31" t="str">
        <f t="shared" si="1"/>
        <v>Ogden</v>
      </c>
      <c r="G31" t="str">
        <f t="shared" si="2"/>
        <v>GJJ</v>
      </c>
      <c r="H31" t="str">
        <f t="shared" si="3"/>
        <v>OGD</v>
      </c>
    </row>
    <row r="32" spans="1:8" x14ac:dyDescent="0.2">
      <c r="A32" t="s">
        <v>67</v>
      </c>
      <c r="B32" s="7">
        <v>45076.753472222226</v>
      </c>
      <c r="C32" t="s">
        <v>32</v>
      </c>
      <c r="D32" t="s">
        <v>34</v>
      </c>
      <c r="E32" t="str">
        <f t="shared" si="0"/>
        <v>Billings</v>
      </c>
      <c r="F32" t="str">
        <f t="shared" si="1"/>
        <v>Glacier</v>
      </c>
      <c r="G32" t="str">
        <f t="shared" si="2"/>
        <v>BIL</v>
      </c>
      <c r="H32" t="str">
        <f t="shared" si="3"/>
        <v>GRR</v>
      </c>
    </row>
    <row r="33" spans="1:8" x14ac:dyDescent="0.2">
      <c r="A33" t="s">
        <v>68</v>
      </c>
      <c r="B33" s="7">
        <v>45076.753472222226</v>
      </c>
      <c r="C33" t="s">
        <v>28</v>
      </c>
      <c r="D33" t="s">
        <v>37</v>
      </c>
      <c r="E33" t="str">
        <f t="shared" si="0"/>
        <v>Grand Junction</v>
      </c>
      <c r="F33" t="str">
        <f t="shared" si="1"/>
        <v>Idaho Falls</v>
      </c>
      <c r="G33" t="str">
        <f t="shared" si="2"/>
        <v>GJJ</v>
      </c>
      <c r="H33" t="str">
        <f t="shared" si="3"/>
        <v>IDF</v>
      </c>
    </row>
    <row r="34" spans="1:8" x14ac:dyDescent="0.2">
      <c r="A34" t="s">
        <v>69</v>
      </c>
      <c r="B34" s="7">
        <v>45076.753472222226</v>
      </c>
      <c r="C34" t="s">
        <v>35</v>
      </c>
      <c r="D34" t="s">
        <v>41</v>
      </c>
      <c r="E34" t="str">
        <f t="shared" ref="E34:E65" si="4">VLOOKUP(C34,$J$1:$L$10,2,FALSE)</f>
        <v>Great Falls</v>
      </c>
      <c r="F34" t="str">
        <f t="shared" si="1"/>
        <v>NoCo</v>
      </c>
      <c r="G34" t="str">
        <f t="shared" si="2"/>
        <v>GFV</v>
      </c>
      <c r="H34" t="str">
        <f t="shared" si="3"/>
        <v>NoCo</v>
      </c>
    </row>
    <row r="35" spans="1:8" x14ac:dyDescent="0.2">
      <c r="A35" t="s">
        <v>70</v>
      </c>
      <c r="B35" s="7">
        <v>45076.753472222226</v>
      </c>
      <c r="C35" t="s">
        <v>29</v>
      </c>
      <c r="D35" t="s">
        <v>38</v>
      </c>
      <c r="E35" t="str">
        <f t="shared" si="4"/>
        <v>Ogden</v>
      </c>
      <c r="F35" t="str">
        <f t="shared" si="1"/>
        <v>Boise</v>
      </c>
      <c r="G35" t="str">
        <f t="shared" si="2"/>
        <v>OGD</v>
      </c>
      <c r="H35" t="str">
        <f t="shared" si="3"/>
        <v>BOI</v>
      </c>
    </row>
    <row r="36" spans="1:8" x14ac:dyDescent="0.2">
      <c r="A36" t="s">
        <v>71</v>
      </c>
      <c r="B36" s="7">
        <v>45076.753472222226</v>
      </c>
      <c r="C36" t="s">
        <v>40</v>
      </c>
      <c r="D36" t="s">
        <v>31</v>
      </c>
      <c r="E36" t="str">
        <f t="shared" si="4"/>
        <v>Rocky Mountain</v>
      </c>
      <c r="F36" t="str">
        <f t="shared" si="1"/>
        <v>Missoula</v>
      </c>
      <c r="G36" t="str">
        <f t="shared" si="2"/>
        <v>RMV</v>
      </c>
      <c r="H36" t="str">
        <f t="shared" si="3"/>
        <v>MIS</v>
      </c>
    </row>
    <row r="37" spans="1:8" x14ac:dyDescent="0.2">
      <c r="A37" t="s">
        <v>72</v>
      </c>
      <c r="B37" s="7">
        <v>45077.753472222226</v>
      </c>
      <c r="C37" t="s">
        <v>32</v>
      </c>
      <c r="D37" t="s">
        <v>34</v>
      </c>
      <c r="E37" t="str">
        <f t="shared" si="4"/>
        <v>Billings</v>
      </c>
      <c r="F37" t="str">
        <f t="shared" si="1"/>
        <v>Glacier</v>
      </c>
      <c r="G37" t="str">
        <f t="shared" si="2"/>
        <v>BIL</v>
      </c>
      <c r="H37" t="str">
        <f t="shared" si="3"/>
        <v>GRR</v>
      </c>
    </row>
    <row r="38" spans="1:8" x14ac:dyDescent="0.2">
      <c r="A38" t="s">
        <v>73</v>
      </c>
      <c r="B38" s="7">
        <v>45077.753472222226</v>
      </c>
      <c r="C38" t="s">
        <v>28</v>
      </c>
      <c r="D38" t="s">
        <v>37</v>
      </c>
      <c r="E38" t="str">
        <f t="shared" si="4"/>
        <v>Grand Junction</v>
      </c>
      <c r="F38" t="str">
        <f t="shared" si="1"/>
        <v>Idaho Falls</v>
      </c>
      <c r="G38" t="str">
        <f t="shared" si="2"/>
        <v>GJJ</v>
      </c>
      <c r="H38" t="str">
        <f t="shared" si="3"/>
        <v>IDF</v>
      </c>
    </row>
    <row r="39" spans="1:8" x14ac:dyDescent="0.2">
      <c r="A39" t="s">
        <v>74</v>
      </c>
      <c r="B39" s="7">
        <v>45077.753472222226</v>
      </c>
      <c r="C39" t="s">
        <v>35</v>
      </c>
      <c r="D39" t="s">
        <v>41</v>
      </c>
      <c r="E39" t="str">
        <f t="shared" si="4"/>
        <v>Great Falls</v>
      </c>
      <c r="F39" t="str">
        <f t="shared" si="1"/>
        <v>NoCo</v>
      </c>
      <c r="G39" t="str">
        <f t="shared" si="2"/>
        <v>GFV</v>
      </c>
      <c r="H39" t="str">
        <f t="shared" si="3"/>
        <v>NoCo</v>
      </c>
    </row>
    <row r="40" spans="1:8" x14ac:dyDescent="0.2">
      <c r="A40" t="s">
        <v>75</v>
      </c>
      <c r="B40" s="7">
        <v>45077.753472222226</v>
      </c>
      <c r="C40" t="s">
        <v>29</v>
      </c>
      <c r="D40" t="s">
        <v>38</v>
      </c>
      <c r="E40" t="str">
        <f t="shared" si="4"/>
        <v>Ogden</v>
      </c>
      <c r="F40" t="str">
        <f t="shared" si="1"/>
        <v>Boise</v>
      </c>
      <c r="G40" t="str">
        <f t="shared" si="2"/>
        <v>OGD</v>
      </c>
      <c r="H40" t="str">
        <f t="shared" si="3"/>
        <v>BOI</v>
      </c>
    </row>
    <row r="41" spans="1:8" x14ac:dyDescent="0.2">
      <c r="A41" t="s">
        <v>76</v>
      </c>
      <c r="B41" s="7">
        <v>45077.753472222226</v>
      </c>
      <c r="C41" t="s">
        <v>40</v>
      </c>
      <c r="D41" t="s">
        <v>31</v>
      </c>
      <c r="E41" t="str">
        <f t="shared" si="4"/>
        <v>Rocky Mountain</v>
      </c>
      <c r="F41" t="str">
        <f t="shared" si="1"/>
        <v>Missoula</v>
      </c>
      <c r="G41" t="str">
        <f t="shared" si="2"/>
        <v>RMV</v>
      </c>
      <c r="H41" t="str">
        <f t="shared" si="3"/>
        <v>MIS</v>
      </c>
    </row>
    <row r="42" spans="1:8" x14ac:dyDescent="0.2">
      <c r="A42" t="s">
        <v>77</v>
      </c>
      <c r="B42" s="7">
        <v>45078.753472222226</v>
      </c>
      <c r="C42" t="s">
        <v>32</v>
      </c>
      <c r="D42" t="s">
        <v>34</v>
      </c>
      <c r="E42" t="str">
        <f t="shared" si="4"/>
        <v>Billings</v>
      </c>
      <c r="F42" t="str">
        <f t="shared" si="1"/>
        <v>Glacier</v>
      </c>
      <c r="G42" t="str">
        <f t="shared" si="2"/>
        <v>BIL</v>
      </c>
      <c r="H42" t="str">
        <f t="shared" si="3"/>
        <v>GRR</v>
      </c>
    </row>
    <row r="43" spans="1:8" x14ac:dyDescent="0.2">
      <c r="A43" t="s">
        <v>78</v>
      </c>
      <c r="B43" s="7">
        <v>45078.753472222226</v>
      </c>
      <c r="C43" t="s">
        <v>28</v>
      </c>
      <c r="D43" t="s">
        <v>37</v>
      </c>
      <c r="E43" t="str">
        <f t="shared" si="4"/>
        <v>Grand Junction</v>
      </c>
      <c r="F43" t="str">
        <f t="shared" si="1"/>
        <v>Idaho Falls</v>
      </c>
      <c r="G43" t="str">
        <f t="shared" si="2"/>
        <v>GJJ</v>
      </c>
      <c r="H43" t="str">
        <f t="shared" si="3"/>
        <v>IDF</v>
      </c>
    </row>
    <row r="44" spans="1:8" x14ac:dyDescent="0.2">
      <c r="A44" t="s">
        <v>79</v>
      </c>
      <c r="B44" s="7">
        <v>45078.753472222226</v>
      </c>
      <c r="C44" t="s">
        <v>35</v>
      </c>
      <c r="D44" t="s">
        <v>41</v>
      </c>
      <c r="E44" t="str">
        <f t="shared" si="4"/>
        <v>Great Falls</v>
      </c>
      <c r="F44" t="str">
        <f t="shared" si="1"/>
        <v>NoCo</v>
      </c>
      <c r="G44" t="str">
        <f t="shared" si="2"/>
        <v>GFV</v>
      </c>
      <c r="H44" t="str">
        <f t="shared" si="3"/>
        <v>NoCo</v>
      </c>
    </row>
    <row r="45" spans="1:8" x14ac:dyDescent="0.2">
      <c r="A45" t="s">
        <v>80</v>
      </c>
      <c r="B45" s="7">
        <v>45078.753472222226</v>
      </c>
      <c r="C45" t="s">
        <v>29</v>
      </c>
      <c r="D45" t="s">
        <v>38</v>
      </c>
      <c r="E45" t="str">
        <f t="shared" si="4"/>
        <v>Ogden</v>
      </c>
      <c r="F45" t="str">
        <f t="shared" si="1"/>
        <v>Boise</v>
      </c>
      <c r="G45" t="str">
        <f t="shared" si="2"/>
        <v>OGD</v>
      </c>
      <c r="H45" t="str">
        <f t="shared" si="3"/>
        <v>BOI</v>
      </c>
    </row>
    <row r="46" spans="1:8" x14ac:dyDescent="0.2">
      <c r="A46" t="s">
        <v>81</v>
      </c>
      <c r="B46" s="7">
        <v>45078.753472222226</v>
      </c>
      <c r="C46" t="s">
        <v>40</v>
      </c>
      <c r="D46" t="s">
        <v>31</v>
      </c>
      <c r="E46" t="str">
        <f t="shared" si="4"/>
        <v>Rocky Mountain</v>
      </c>
      <c r="F46" t="str">
        <f t="shared" si="1"/>
        <v>Missoula</v>
      </c>
      <c r="G46" t="str">
        <f t="shared" si="2"/>
        <v>RMV</v>
      </c>
      <c r="H46" t="str">
        <f t="shared" si="3"/>
        <v>MIS</v>
      </c>
    </row>
    <row r="47" spans="1:8" x14ac:dyDescent="0.2">
      <c r="A47" t="s">
        <v>82</v>
      </c>
      <c r="B47" s="7">
        <v>45079.753472222226</v>
      </c>
      <c r="C47" t="s">
        <v>32</v>
      </c>
      <c r="D47" t="s">
        <v>31</v>
      </c>
      <c r="E47" t="str">
        <f t="shared" si="4"/>
        <v>Billings</v>
      </c>
      <c r="F47" t="str">
        <f t="shared" si="1"/>
        <v>Missoula</v>
      </c>
      <c r="G47" t="str">
        <f t="shared" si="2"/>
        <v>BIL</v>
      </c>
      <c r="H47" t="str">
        <f t="shared" si="3"/>
        <v>MIS</v>
      </c>
    </row>
    <row r="48" spans="1:8" x14ac:dyDescent="0.2">
      <c r="A48" t="s">
        <v>83</v>
      </c>
      <c r="B48" s="7">
        <v>45079.753472222226</v>
      </c>
      <c r="C48" t="s">
        <v>28</v>
      </c>
      <c r="D48" t="s">
        <v>37</v>
      </c>
      <c r="E48" t="str">
        <f t="shared" si="4"/>
        <v>Grand Junction</v>
      </c>
      <c r="F48" t="str">
        <f t="shared" si="1"/>
        <v>Idaho Falls</v>
      </c>
      <c r="G48" t="str">
        <f t="shared" si="2"/>
        <v>GJJ</v>
      </c>
      <c r="H48" t="str">
        <f t="shared" si="3"/>
        <v>IDF</v>
      </c>
    </row>
    <row r="49" spans="1:8" x14ac:dyDescent="0.2">
      <c r="A49" t="s">
        <v>84</v>
      </c>
      <c r="B49" s="7">
        <v>45079.753472222226</v>
      </c>
      <c r="C49" t="s">
        <v>35</v>
      </c>
      <c r="D49" t="s">
        <v>41</v>
      </c>
      <c r="E49" t="str">
        <f t="shared" si="4"/>
        <v>Great Falls</v>
      </c>
      <c r="F49" t="str">
        <f t="shared" si="1"/>
        <v>NoCo</v>
      </c>
      <c r="G49" t="str">
        <f t="shared" si="2"/>
        <v>GFV</v>
      </c>
      <c r="H49" t="str">
        <f t="shared" si="3"/>
        <v>NoCo</v>
      </c>
    </row>
    <row r="50" spans="1:8" x14ac:dyDescent="0.2">
      <c r="A50" t="s">
        <v>85</v>
      </c>
      <c r="B50" s="7">
        <v>45079.753472222226</v>
      </c>
      <c r="C50" t="s">
        <v>29</v>
      </c>
      <c r="D50" t="s">
        <v>38</v>
      </c>
      <c r="E50" t="str">
        <f t="shared" si="4"/>
        <v>Ogden</v>
      </c>
      <c r="F50" t="str">
        <f t="shared" si="1"/>
        <v>Boise</v>
      </c>
      <c r="G50" t="str">
        <f t="shared" si="2"/>
        <v>OGD</v>
      </c>
      <c r="H50" t="str">
        <f t="shared" si="3"/>
        <v>BOI</v>
      </c>
    </row>
    <row r="51" spans="1:8" x14ac:dyDescent="0.2">
      <c r="A51" t="s">
        <v>86</v>
      </c>
      <c r="B51" s="7">
        <v>45079.753472222226</v>
      </c>
      <c r="C51" t="s">
        <v>40</v>
      </c>
      <c r="D51" t="s">
        <v>34</v>
      </c>
      <c r="E51" t="str">
        <f t="shared" si="4"/>
        <v>Rocky Mountain</v>
      </c>
      <c r="F51" t="str">
        <f t="shared" si="1"/>
        <v>Glacier</v>
      </c>
      <c r="G51" t="str">
        <f t="shared" si="2"/>
        <v>RMV</v>
      </c>
      <c r="H51" t="str">
        <f t="shared" si="3"/>
        <v>GRR</v>
      </c>
    </row>
    <row r="52" spans="1:8" x14ac:dyDescent="0.2">
      <c r="A52" t="s">
        <v>87</v>
      </c>
      <c r="B52" s="7">
        <v>45080.753472222226</v>
      </c>
      <c r="C52" t="s">
        <v>32</v>
      </c>
      <c r="D52" t="s">
        <v>31</v>
      </c>
      <c r="E52" t="str">
        <f t="shared" si="4"/>
        <v>Billings</v>
      </c>
      <c r="F52" t="str">
        <f t="shared" si="1"/>
        <v>Missoula</v>
      </c>
      <c r="G52" t="str">
        <f t="shared" si="2"/>
        <v>BIL</v>
      </c>
      <c r="H52" t="str">
        <f t="shared" si="3"/>
        <v>MIS</v>
      </c>
    </row>
    <row r="53" spans="1:8" x14ac:dyDescent="0.2">
      <c r="A53" t="s">
        <v>88</v>
      </c>
      <c r="B53" s="7">
        <v>45080.753472222226</v>
      </c>
      <c r="C53" t="s">
        <v>28</v>
      </c>
      <c r="D53" t="s">
        <v>37</v>
      </c>
      <c r="E53" t="str">
        <f t="shared" si="4"/>
        <v>Grand Junction</v>
      </c>
      <c r="F53" t="str">
        <f t="shared" si="1"/>
        <v>Idaho Falls</v>
      </c>
      <c r="G53" t="str">
        <f t="shared" si="2"/>
        <v>GJJ</v>
      </c>
      <c r="H53" t="str">
        <f t="shared" si="3"/>
        <v>IDF</v>
      </c>
    </row>
    <row r="54" spans="1:8" x14ac:dyDescent="0.2">
      <c r="A54" t="s">
        <v>89</v>
      </c>
      <c r="B54" s="7">
        <v>45080.753472222226</v>
      </c>
      <c r="C54" t="s">
        <v>35</v>
      </c>
      <c r="D54" t="s">
        <v>41</v>
      </c>
      <c r="E54" t="str">
        <f t="shared" si="4"/>
        <v>Great Falls</v>
      </c>
      <c r="F54" t="str">
        <f t="shared" si="1"/>
        <v>NoCo</v>
      </c>
      <c r="G54" t="str">
        <f t="shared" si="2"/>
        <v>GFV</v>
      </c>
      <c r="H54" t="str">
        <f t="shared" si="3"/>
        <v>NoCo</v>
      </c>
    </row>
    <row r="55" spans="1:8" x14ac:dyDescent="0.2">
      <c r="A55" t="s">
        <v>90</v>
      </c>
      <c r="B55" s="7">
        <v>45080.753472222226</v>
      </c>
      <c r="C55" t="s">
        <v>29</v>
      </c>
      <c r="D55" t="s">
        <v>38</v>
      </c>
      <c r="E55" t="str">
        <f t="shared" si="4"/>
        <v>Ogden</v>
      </c>
      <c r="F55" t="str">
        <f t="shared" si="1"/>
        <v>Boise</v>
      </c>
      <c r="G55" t="str">
        <f t="shared" si="2"/>
        <v>OGD</v>
      </c>
      <c r="H55" t="str">
        <f t="shared" si="3"/>
        <v>BOI</v>
      </c>
    </row>
    <row r="56" spans="1:8" x14ac:dyDescent="0.2">
      <c r="A56" t="s">
        <v>91</v>
      </c>
      <c r="B56" s="7">
        <v>45080.753472222226</v>
      </c>
      <c r="C56" t="s">
        <v>40</v>
      </c>
      <c r="D56" t="s">
        <v>34</v>
      </c>
      <c r="E56" t="str">
        <f t="shared" si="4"/>
        <v>Rocky Mountain</v>
      </c>
      <c r="F56" t="str">
        <f t="shared" si="1"/>
        <v>Glacier</v>
      </c>
      <c r="G56" t="str">
        <f t="shared" si="2"/>
        <v>RMV</v>
      </c>
      <c r="H56" t="str">
        <f t="shared" si="3"/>
        <v>GRR</v>
      </c>
    </row>
    <row r="57" spans="1:8" x14ac:dyDescent="0.2">
      <c r="A57" t="s">
        <v>92</v>
      </c>
      <c r="B57" s="7">
        <v>45081.503472222226</v>
      </c>
      <c r="C57" t="s">
        <v>35</v>
      </c>
      <c r="D57" t="s">
        <v>41</v>
      </c>
      <c r="E57" t="str">
        <f t="shared" si="4"/>
        <v>Great Falls</v>
      </c>
      <c r="F57" t="str">
        <f t="shared" si="1"/>
        <v>NoCo</v>
      </c>
      <c r="G57" t="str">
        <f t="shared" si="2"/>
        <v>GFV</v>
      </c>
      <c r="H57" t="str">
        <f t="shared" si="3"/>
        <v>NoCo</v>
      </c>
    </row>
    <row r="58" spans="1:8" x14ac:dyDescent="0.2">
      <c r="A58" t="s">
        <v>93</v>
      </c>
      <c r="B58" s="7">
        <v>45081.503472222226</v>
      </c>
      <c r="C58" t="s">
        <v>29</v>
      </c>
      <c r="D58" t="s">
        <v>38</v>
      </c>
      <c r="E58" t="str">
        <f t="shared" si="4"/>
        <v>Ogden</v>
      </c>
      <c r="F58" t="str">
        <f t="shared" si="1"/>
        <v>Boise</v>
      </c>
      <c r="G58" t="str">
        <f t="shared" si="2"/>
        <v>OGD</v>
      </c>
      <c r="H58" t="str">
        <f t="shared" si="3"/>
        <v>BOI</v>
      </c>
    </row>
    <row r="59" spans="1:8" x14ac:dyDescent="0.2">
      <c r="A59" t="s">
        <v>94</v>
      </c>
      <c r="B59" s="7">
        <v>45081.503472222226</v>
      </c>
      <c r="C59" t="s">
        <v>40</v>
      </c>
      <c r="D59" t="s">
        <v>34</v>
      </c>
      <c r="E59" t="str">
        <f t="shared" si="4"/>
        <v>Rocky Mountain</v>
      </c>
      <c r="F59" t="str">
        <f t="shared" si="1"/>
        <v>Glacier</v>
      </c>
      <c r="G59" t="str">
        <f t="shared" si="2"/>
        <v>RMV</v>
      </c>
      <c r="H59" t="str">
        <f t="shared" si="3"/>
        <v>GRR</v>
      </c>
    </row>
    <row r="60" spans="1:8" x14ac:dyDescent="0.2">
      <c r="A60" t="s">
        <v>95</v>
      </c>
      <c r="B60" s="7">
        <v>45081.541666666672</v>
      </c>
      <c r="C60" t="s">
        <v>28</v>
      </c>
      <c r="D60" t="s">
        <v>37</v>
      </c>
      <c r="E60" t="str">
        <f t="shared" si="4"/>
        <v>Grand Junction</v>
      </c>
      <c r="F60" t="str">
        <f t="shared" si="1"/>
        <v>Idaho Falls</v>
      </c>
      <c r="G60" t="str">
        <f t="shared" si="2"/>
        <v>GJJ</v>
      </c>
      <c r="H60" t="str">
        <f t="shared" si="3"/>
        <v>IDF</v>
      </c>
    </row>
    <row r="61" spans="1:8" x14ac:dyDescent="0.2">
      <c r="A61" t="s">
        <v>96</v>
      </c>
      <c r="B61" s="7">
        <v>45081.545138888891</v>
      </c>
      <c r="C61" t="s">
        <v>32</v>
      </c>
      <c r="D61" t="s">
        <v>31</v>
      </c>
      <c r="E61" t="str">
        <f t="shared" si="4"/>
        <v>Billings</v>
      </c>
      <c r="F61" t="str">
        <f t="shared" si="1"/>
        <v>Missoula</v>
      </c>
      <c r="G61" t="str">
        <f t="shared" si="2"/>
        <v>BIL</v>
      </c>
      <c r="H61" t="str">
        <f t="shared" si="3"/>
        <v>MIS</v>
      </c>
    </row>
    <row r="62" spans="1:8" x14ac:dyDescent="0.2">
      <c r="A62" t="s">
        <v>97</v>
      </c>
      <c r="B62" s="7">
        <v>45083.729166666672</v>
      </c>
      <c r="C62" t="s">
        <v>37</v>
      </c>
      <c r="D62" t="s">
        <v>29</v>
      </c>
      <c r="E62" t="str">
        <f t="shared" si="4"/>
        <v>Idaho Falls</v>
      </c>
      <c r="F62" t="str">
        <f t="shared" si="1"/>
        <v>Ogden</v>
      </c>
      <c r="G62" t="str">
        <f t="shared" si="2"/>
        <v>IDF</v>
      </c>
      <c r="H62" t="str">
        <f t="shared" si="3"/>
        <v>OGD</v>
      </c>
    </row>
    <row r="63" spans="1:8" x14ac:dyDescent="0.2">
      <c r="A63" t="s">
        <v>98</v>
      </c>
      <c r="B63" s="7">
        <v>45083.732638888891</v>
      </c>
      <c r="C63" t="s">
        <v>38</v>
      </c>
      <c r="D63" t="s">
        <v>28</v>
      </c>
      <c r="E63" t="str">
        <f t="shared" si="4"/>
        <v>Boise</v>
      </c>
      <c r="F63" t="str">
        <f t="shared" si="1"/>
        <v>Grand Junction</v>
      </c>
      <c r="G63" t="str">
        <f t="shared" si="2"/>
        <v>BOI</v>
      </c>
      <c r="H63" t="str">
        <f t="shared" si="3"/>
        <v>GJJ</v>
      </c>
    </row>
    <row r="64" spans="1:8" x14ac:dyDescent="0.2">
      <c r="A64" t="s">
        <v>99</v>
      </c>
      <c r="B64" s="7">
        <v>45083.732638888891</v>
      </c>
      <c r="C64" t="s">
        <v>34</v>
      </c>
      <c r="D64" t="s">
        <v>32</v>
      </c>
      <c r="E64" t="str">
        <f t="shared" si="4"/>
        <v>Glacier</v>
      </c>
      <c r="F64" t="str">
        <f t="shared" si="1"/>
        <v>Billings</v>
      </c>
      <c r="G64" t="str">
        <f t="shared" si="2"/>
        <v>GRR</v>
      </c>
      <c r="H64" t="str">
        <f t="shared" si="3"/>
        <v>BIL</v>
      </c>
    </row>
    <row r="65" spans="1:8" x14ac:dyDescent="0.2">
      <c r="A65" t="s">
        <v>100</v>
      </c>
      <c r="B65" s="7">
        <v>45083.732638888891</v>
      </c>
      <c r="C65" t="s">
        <v>41</v>
      </c>
      <c r="D65" t="s">
        <v>40</v>
      </c>
      <c r="E65" t="str">
        <f t="shared" si="4"/>
        <v>NoCo</v>
      </c>
      <c r="F65" t="str">
        <f t="shared" si="1"/>
        <v>Rocky Mountain</v>
      </c>
      <c r="G65" t="str">
        <f t="shared" si="2"/>
        <v>NoCo</v>
      </c>
      <c r="H65" t="str">
        <f t="shared" si="3"/>
        <v>RMV</v>
      </c>
    </row>
    <row r="66" spans="1:8" x14ac:dyDescent="0.2">
      <c r="A66" t="s">
        <v>101</v>
      </c>
      <c r="B66" s="7">
        <v>45083.75</v>
      </c>
      <c r="C66" t="s">
        <v>31</v>
      </c>
      <c r="D66" t="s">
        <v>35</v>
      </c>
      <c r="E66" t="str">
        <f t="shared" ref="E66:E129" si="5">VLOOKUP(C66,$J$1:$L$10,2,FALSE)</f>
        <v>Missoula</v>
      </c>
      <c r="F66" t="str">
        <f t="shared" ref="F66:F129" si="6">VLOOKUP(D66,$J$1:$L$10,2,FALSE)</f>
        <v>Great Falls</v>
      </c>
      <c r="G66" t="str">
        <f t="shared" ref="G66:G129" si="7">VLOOKUP(C66,$J$1:$L$10,3,FALSE)</f>
        <v>MIS</v>
      </c>
      <c r="H66" t="str">
        <f t="shared" ref="H66:H129" si="8">VLOOKUP(D66,$J$1:$L$10,3,FALSE)</f>
        <v>GFV</v>
      </c>
    </row>
    <row r="67" spans="1:8" x14ac:dyDescent="0.2">
      <c r="A67" t="s">
        <v>102</v>
      </c>
      <c r="B67" s="7">
        <v>45084.729166666672</v>
      </c>
      <c r="C67" t="s">
        <v>37</v>
      </c>
      <c r="D67" t="s">
        <v>29</v>
      </c>
      <c r="E67" t="str">
        <f t="shared" si="5"/>
        <v>Idaho Falls</v>
      </c>
      <c r="F67" t="str">
        <f t="shared" si="6"/>
        <v>Ogden</v>
      </c>
      <c r="G67" t="str">
        <f t="shared" si="7"/>
        <v>IDF</v>
      </c>
      <c r="H67" t="str">
        <f t="shared" si="8"/>
        <v>OGD</v>
      </c>
    </row>
    <row r="68" spans="1:8" x14ac:dyDescent="0.2">
      <c r="A68" t="s">
        <v>103</v>
      </c>
      <c r="B68" s="7">
        <v>45084.732638888891</v>
      </c>
      <c r="C68" t="s">
        <v>38</v>
      </c>
      <c r="D68" t="s">
        <v>28</v>
      </c>
      <c r="E68" t="str">
        <f t="shared" si="5"/>
        <v>Boise</v>
      </c>
      <c r="F68" t="str">
        <f t="shared" si="6"/>
        <v>Grand Junction</v>
      </c>
      <c r="G68" t="str">
        <f t="shared" si="7"/>
        <v>BOI</v>
      </c>
      <c r="H68" t="str">
        <f t="shared" si="8"/>
        <v>GJJ</v>
      </c>
    </row>
    <row r="69" spans="1:8" x14ac:dyDescent="0.2">
      <c r="A69" t="s">
        <v>104</v>
      </c>
      <c r="B69" s="7">
        <v>45084.732638888891</v>
      </c>
      <c r="C69" t="s">
        <v>34</v>
      </c>
      <c r="D69" t="s">
        <v>32</v>
      </c>
      <c r="E69" t="str">
        <f t="shared" si="5"/>
        <v>Glacier</v>
      </c>
      <c r="F69" t="str">
        <f t="shared" si="6"/>
        <v>Billings</v>
      </c>
      <c r="G69" t="str">
        <f t="shared" si="7"/>
        <v>GRR</v>
      </c>
      <c r="H69" t="str">
        <f t="shared" si="8"/>
        <v>BIL</v>
      </c>
    </row>
    <row r="70" spans="1:8" x14ac:dyDescent="0.2">
      <c r="A70" t="s">
        <v>105</v>
      </c>
      <c r="B70" s="7">
        <v>45084.732638888891</v>
      </c>
      <c r="C70" t="s">
        <v>41</v>
      </c>
      <c r="D70" t="s">
        <v>40</v>
      </c>
      <c r="E70" t="str">
        <f t="shared" si="5"/>
        <v>NoCo</v>
      </c>
      <c r="F70" t="str">
        <f t="shared" si="6"/>
        <v>Rocky Mountain</v>
      </c>
      <c r="G70" t="str">
        <f t="shared" si="7"/>
        <v>NoCo</v>
      </c>
      <c r="H70" t="str">
        <f t="shared" si="8"/>
        <v>RMV</v>
      </c>
    </row>
    <row r="71" spans="1:8" x14ac:dyDescent="0.2">
      <c r="A71" t="s">
        <v>106</v>
      </c>
      <c r="B71" s="7">
        <v>45084.75</v>
      </c>
      <c r="C71" t="s">
        <v>31</v>
      </c>
      <c r="D71" t="s">
        <v>35</v>
      </c>
      <c r="E71" t="str">
        <f t="shared" si="5"/>
        <v>Missoula</v>
      </c>
      <c r="F71" t="str">
        <f t="shared" si="6"/>
        <v>Great Falls</v>
      </c>
      <c r="G71" t="str">
        <f t="shared" si="7"/>
        <v>MIS</v>
      </c>
      <c r="H71" t="str">
        <f t="shared" si="8"/>
        <v>GFV</v>
      </c>
    </row>
    <row r="72" spans="1:8" x14ac:dyDescent="0.2">
      <c r="A72" t="s">
        <v>107</v>
      </c>
      <c r="B72" s="7">
        <v>45085.729166666672</v>
      </c>
      <c r="C72" t="s">
        <v>37</v>
      </c>
      <c r="D72" t="s">
        <v>29</v>
      </c>
      <c r="E72" t="str">
        <f t="shared" si="5"/>
        <v>Idaho Falls</v>
      </c>
      <c r="F72" t="str">
        <f t="shared" si="6"/>
        <v>Ogden</v>
      </c>
      <c r="G72" t="str">
        <f t="shared" si="7"/>
        <v>IDF</v>
      </c>
      <c r="H72" t="str">
        <f t="shared" si="8"/>
        <v>OGD</v>
      </c>
    </row>
    <row r="73" spans="1:8" x14ac:dyDescent="0.2">
      <c r="A73" t="s">
        <v>108</v>
      </c>
      <c r="B73" s="7">
        <v>45085.732638888891</v>
      </c>
      <c r="C73" t="s">
        <v>38</v>
      </c>
      <c r="D73" t="s">
        <v>28</v>
      </c>
      <c r="E73" t="str">
        <f t="shared" si="5"/>
        <v>Boise</v>
      </c>
      <c r="F73" t="str">
        <f t="shared" si="6"/>
        <v>Grand Junction</v>
      </c>
      <c r="G73" t="str">
        <f t="shared" si="7"/>
        <v>BOI</v>
      </c>
      <c r="H73" t="str">
        <f t="shared" si="8"/>
        <v>GJJ</v>
      </c>
    </row>
    <row r="74" spans="1:8" x14ac:dyDescent="0.2">
      <c r="A74" t="s">
        <v>109</v>
      </c>
      <c r="B74" s="7">
        <v>45085.732638888891</v>
      </c>
      <c r="C74" t="s">
        <v>34</v>
      </c>
      <c r="D74" t="s">
        <v>32</v>
      </c>
      <c r="E74" t="str">
        <f t="shared" si="5"/>
        <v>Glacier</v>
      </c>
      <c r="F74" t="str">
        <f t="shared" si="6"/>
        <v>Billings</v>
      </c>
      <c r="G74" t="str">
        <f t="shared" si="7"/>
        <v>GRR</v>
      </c>
      <c r="H74" t="str">
        <f t="shared" si="8"/>
        <v>BIL</v>
      </c>
    </row>
    <row r="75" spans="1:8" x14ac:dyDescent="0.2">
      <c r="A75" t="s">
        <v>110</v>
      </c>
      <c r="B75" s="7">
        <v>45085.732638888891</v>
      </c>
      <c r="C75" t="s">
        <v>41</v>
      </c>
      <c r="D75" t="s">
        <v>40</v>
      </c>
      <c r="E75" t="str">
        <f t="shared" si="5"/>
        <v>NoCo</v>
      </c>
      <c r="F75" t="str">
        <f t="shared" si="6"/>
        <v>Rocky Mountain</v>
      </c>
      <c r="G75" t="str">
        <f t="shared" si="7"/>
        <v>NoCo</v>
      </c>
      <c r="H75" t="str">
        <f t="shared" si="8"/>
        <v>RMV</v>
      </c>
    </row>
    <row r="76" spans="1:8" x14ac:dyDescent="0.2">
      <c r="A76" t="s">
        <v>111</v>
      </c>
      <c r="B76" s="7">
        <v>45085.75</v>
      </c>
      <c r="C76" t="s">
        <v>31</v>
      </c>
      <c r="D76" t="s">
        <v>35</v>
      </c>
      <c r="E76" t="str">
        <f t="shared" si="5"/>
        <v>Missoula</v>
      </c>
      <c r="F76" t="str">
        <f t="shared" si="6"/>
        <v>Great Falls</v>
      </c>
      <c r="G76" t="str">
        <f t="shared" si="7"/>
        <v>MIS</v>
      </c>
      <c r="H76" t="str">
        <f t="shared" si="8"/>
        <v>GFV</v>
      </c>
    </row>
    <row r="77" spans="1:8" x14ac:dyDescent="0.2">
      <c r="A77" t="s">
        <v>112</v>
      </c>
      <c r="B77" s="7">
        <v>45086.690972222226</v>
      </c>
      <c r="C77" t="s">
        <v>41</v>
      </c>
      <c r="D77" t="s">
        <v>28</v>
      </c>
      <c r="E77" t="str">
        <f t="shared" si="5"/>
        <v>NoCo</v>
      </c>
      <c r="F77" t="str">
        <f t="shared" si="6"/>
        <v>Grand Junction</v>
      </c>
      <c r="G77" t="str">
        <f t="shared" si="7"/>
        <v>NoCo</v>
      </c>
      <c r="H77" t="str">
        <f t="shared" si="8"/>
        <v>GJJ</v>
      </c>
    </row>
    <row r="78" spans="1:8" x14ac:dyDescent="0.2">
      <c r="A78" t="s">
        <v>113</v>
      </c>
      <c r="B78" s="7">
        <v>45086.729166666672</v>
      </c>
      <c r="C78" t="s">
        <v>37</v>
      </c>
      <c r="D78" t="s">
        <v>29</v>
      </c>
      <c r="E78" t="str">
        <f t="shared" si="5"/>
        <v>Idaho Falls</v>
      </c>
      <c r="F78" t="str">
        <f t="shared" si="6"/>
        <v>Ogden</v>
      </c>
      <c r="G78" t="str">
        <f t="shared" si="7"/>
        <v>IDF</v>
      </c>
      <c r="H78" t="str">
        <f t="shared" si="8"/>
        <v>OGD</v>
      </c>
    </row>
    <row r="79" spans="1:8" x14ac:dyDescent="0.2">
      <c r="A79" t="s">
        <v>114</v>
      </c>
      <c r="B79" s="7">
        <v>45086.732638888891</v>
      </c>
      <c r="C79" t="s">
        <v>38</v>
      </c>
      <c r="D79" t="s">
        <v>40</v>
      </c>
      <c r="E79" t="str">
        <f t="shared" si="5"/>
        <v>Boise</v>
      </c>
      <c r="F79" t="str">
        <f t="shared" si="6"/>
        <v>Rocky Mountain</v>
      </c>
      <c r="G79" t="str">
        <f t="shared" si="7"/>
        <v>BOI</v>
      </c>
      <c r="H79" t="str">
        <f t="shared" si="8"/>
        <v>RMV</v>
      </c>
    </row>
    <row r="80" spans="1:8" x14ac:dyDescent="0.2">
      <c r="A80" t="s">
        <v>115</v>
      </c>
      <c r="B80" s="7">
        <v>45086.732638888891</v>
      </c>
      <c r="C80" t="s">
        <v>34</v>
      </c>
      <c r="D80" t="s">
        <v>32</v>
      </c>
      <c r="E80" t="str">
        <f t="shared" si="5"/>
        <v>Glacier</v>
      </c>
      <c r="F80" t="str">
        <f t="shared" si="6"/>
        <v>Billings</v>
      </c>
      <c r="G80" t="str">
        <f t="shared" si="7"/>
        <v>GRR</v>
      </c>
      <c r="H80" t="str">
        <f t="shared" si="8"/>
        <v>BIL</v>
      </c>
    </row>
    <row r="81" spans="1:8" x14ac:dyDescent="0.2">
      <c r="A81" t="s">
        <v>116</v>
      </c>
      <c r="B81" s="7">
        <v>45086.753472222226</v>
      </c>
      <c r="C81" t="s">
        <v>35</v>
      </c>
      <c r="D81" t="s">
        <v>31</v>
      </c>
      <c r="E81" t="str">
        <f t="shared" si="5"/>
        <v>Great Falls</v>
      </c>
      <c r="F81" t="str">
        <f t="shared" si="6"/>
        <v>Missoula</v>
      </c>
      <c r="G81" t="str">
        <f t="shared" si="7"/>
        <v>GFV</v>
      </c>
      <c r="H81" t="str">
        <f t="shared" si="8"/>
        <v>MIS</v>
      </c>
    </row>
    <row r="82" spans="1:8" x14ac:dyDescent="0.2">
      <c r="A82" t="s">
        <v>117</v>
      </c>
      <c r="B82" s="7">
        <v>45087.729166666672</v>
      </c>
      <c r="C82" t="s">
        <v>37</v>
      </c>
      <c r="D82" t="s">
        <v>29</v>
      </c>
      <c r="E82" t="str">
        <f t="shared" si="5"/>
        <v>Idaho Falls</v>
      </c>
      <c r="F82" t="str">
        <f t="shared" si="6"/>
        <v>Ogden</v>
      </c>
      <c r="G82" t="str">
        <f t="shared" si="7"/>
        <v>IDF</v>
      </c>
      <c r="H82" t="str">
        <f t="shared" si="8"/>
        <v>OGD</v>
      </c>
    </row>
    <row r="83" spans="1:8" x14ac:dyDescent="0.2">
      <c r="A83" t="s">
        <v>118</v>
      </c>
      <c r="B83" s="7">
        <v>45087.732638888891</v>
      </c>
      <c r="C83" t="s">
        <v>38</v>
      </c>
      <c r="D83" t="s">
        <v>40</v>
      </c>
      <c r="E83" t="str">
        <f t="shared" si="5"/>
        <v>Boise</v>
      </c>
      <c r="F83" t="str">
        <f t="shared" si="6"/>
        <v>Rocky Mountain</v>
      </c>
      <c r="G83" t="str">
        <f t="shared" si="7"/>
        <v>BOI</v>
      </c>
      <c r="H83" t="str">
        <f t="shared" si="8"/>
        <v>RMV</v>
      </c>
    </row>
    <row r="84" spans="1:8" x14ac:dyDescent="0.2">
      <c r="A84" t="s">
        <v>119</v>
      </c>
      <c r="B84" s="7">
        <v>45087.732638888891</v>
      </c>
      <c r="C84" t="s">
        <v>34</v>
      </c>
      <c r="D84" t="s">
        <v>32</v>
      </c>
      <c r="E84" t="str">
        <f t="shared" si="5"/>
        <v>Glacier</v>
      </c>
      <c r="F84" t="str">
        <f t="shared" si="6"/>
        <v>Billings</v>
      </c>
      <c r="G84" t="str">
        <f t="shared" si="7"/>
        <v>GRR</v>
      </c>
      <c r="H84" t="str">
        <f t="shared" si="8"/>
        <v>BIL</v>
      </c>
    </row>
    <row r="85" spans="1:8" x14ac:dyDescent="0.2">
      <c r="A85" t="s">
        <v>120</v>
      </c>
      <c r="B85" s="7">
        <v>45087.732638888891</v>
      </c>
      <c r="C85" t="s">
        <v>41</v>
      </c>
      <c r="D85" t="s">
        <v>28</v>
      </c>
      <c r="E85" t="str">
        <f t="shared" si="5"/>
        <v>NoCo</v>
      </c>
      <c r="F85" t="str">
        <f t="shared" si="6"/>
        <v>Grand Junction</v>
      </c>
      <c r="G85" t="str">
        <f t="shared" si="7"/>
        <v>NoCo</v>
      </c>
      <c r="H85" t="str">
        <f t="shared" si="8"/>
        <v>GJJ</v>
      </c>
    </row>
    <row r="86" spans="1:8" x14ac:dyDescent="0.2">
      <c r="A86" t="s">
        <v>121</v>
      </c>
      <c r="B86" s="7">
        <v>45087.753472222226</v>
      </c>
      <c r="C86" t="s">
        <v>35</v>
      </c>
      <c r="D86" t="s">
        <v>31</v>
      </c>
      <c r="E86" t="str">
        <f t="shared" si="5"/>
        <v>Great Falls</v>
      </c>
      <c r="F86" t="str">
        <f t="shared" si="6"/>
        <v>Missoula</v>
      </c>
      <c r="G86" t="str">
        <f t="shared" si="7"/>
        <v>GFV</v>
      </c>
      <c r="H86" t="str">
        <f t="shared" si="8"/>
        <v>MIS</v>
      </c>
    </row>
    <row r="87" spans="1:8" x14ac:dyDescent="0.2">
      <c r="A87" t="s">
        <v>122</v>
      </c>
      <c r="B87" s="7">
        <v>45088.503472222226</v>
      </c>
      <c r="C87" t="s">
        <v>38</v>
      </c>
      <c r="D87" t="s">
        <v>40</v>
      </c>
      <c r="E87" t="str">
        <f t="shared" si="5"/>
        <v>Boise</v>
      </c>
      <c r="F87" t="str">
        <f t="shared" si="6"/>
        <v>Rocky Mountain</v>
      </c>
      <c r="G87" t="str">
        <f t="shared" si="7"/>
        <v>BOI</v>
      </c>
      <c r="H87" t="str">
        <f t="shared" si="8"/>
        <v>RMV</v>
      </c>
    </row>
    <row r="88" spans="1:8" x14ac:dyDescent="0.2">
      <c r="A88" t="s">
        <v>123</v>
      </c>
      <c r="B88" s="7">
        <v>45088.503472222226</v>
      </c>
      <c r="C88" t="s">
        <v>34</v>
      </c>
      <c r="D88" t="s">
        <v>32</v>
      </c>
      <c r="E88" t="str">
        <f t="shared" si="5"/>
        <v>Glacier</v>
      </c>
      <c r="F88" t="str">
        <f t="shared" si="6"/>
        <v>Billings</v>
      </c>
      <c r="G88" t="str">
        <f t="shared" si="7"/>
        <v>GRR</v>
      </c>
      <c r="H88" t="str">
        <f t="shared" si="8"/>
        <v>BIL</v>
      </c>
    </row>
    <row r="89" spans="1:8" x14ac:dyDescent="0.2">
      <c r="A89" t="s">
        <v>124</v>
      </c>
      <c r="B89" s="7">
        <v>45088.541666666672</v>
      </c>
      <c r="C89" t="s">
        <v>37</v>
      </c>
      <c r="D89" t="s">
        <v>29</v>
      </c>
      <c r="E89" t="str">
        <f t="shared" si="5"/>
        <v>Idaho Falls</v>
      </c>
      <c r="F89" t="str">
        <f t="shared" si="6"/>
        <v>Ogden</v>
      </c>
      <c r="G89" t="str">
        <f t="shared" si="7"/>
        <v>IDF</v>
      </c>
      <c r="H89" t="str">
        <f t="shared" si="8"/>
        <v>OGD</v>
      </c>
    </row>
    <row r="90" spans="1:8" x14ac:dyDescent="0.2">
      <c r="A90" t="s">
        <v>125</v>
      </c>
      <c r="B90" s="7">
        <v>45088.545138888891</v>
      </c>
      <c r="C90" t="s">
        <v>35</v>
      </c>
      <c r="D90" t="s">
        <v>31</v>
      </c>
      <c r="E90" t="str">
        <f t="shared" si="5"/>
        <v>Great Falls</v>
      </c>
      <c r="F90" t="str">
        <f t="shared" si="6"/>
        <v>Missoula</v>
      </c>
      <c r="G90" t="str">
        <f t="shared" si="7"/>
        <v>GFV</v>
      </c>
      <c r="H90" t="str">
        <f t="shared" si="8"/>
        <v>MIS</v>
      </c>
    </row>
    <row r="91" spans="1:8" x14ac:dyDescent="0.2">
      <c r="A91" t="s">
        <v>126</v>
      </c>
      <c r="B91" s="7">
        <v>45088.545138888891</v>
      </c>
      <c r="C91" t="s">
        <v>41</v>
      </c>
      <c r="D91" t="s">
        <v>28</v>
      </c>
      <c r="E91" t="str">
        <f t="shared" si="5"/>
        <v>NoCo</v>
      </c>
      <c r="F91" t="str">
        <f t="shared" si="6"/>
        <v>Grand Junction</v>
      </c>
      <c r="G91" t="str">
        <f t="shared" si="7"/>
        <v>NoCo</v>
      </c>
      <c r="H91" t="str">
        <f t="shared" si="8"/>
        <v>GJJ</v>
      </c>
    </row>
    <row r="92" spans="1:8" x14ac:dyDescent="0.2">
      <c r="A92" t="s">
        <v>127</v>
      </c>
      <c r="B92" s="7">
        <v>45089.732638888891</v>
      </c>
      <c r="C92" t="s">
        <v>41</v>
      </c>
      <c r="D92" t="s">
        <v>28</v>
      </c>
      <c r="E92" t="str">
        <f t="shared" si="5"/>
        <v>NoCo</v>
      </c>
      <c r="F92" t="str">
        <f t="shared" si="6"/>
        <v>Grand Junction</v>
      </c>
      <c r="G92" t="str">
        <f t="shared" si="7"/>
        <v>NoCo</v>
      </c>
      <c r="H92" t="str">
        <f t="shared" si="8"/>
        <v>GJJ</v>
      </c>
    </row>
    <row r="93" spans="1:8" x14ac:dyDescent="0.2">
      <c r="A93" t="s">
        <v>128</v>
      </c>
      <c r="B93" s="7">
        <v>45090.732638888891</v>
      </c>
      <c r="C93" t="s">
        <v>35</v>
      </c>
      <c r="D93" t="s">
        <v>32</v>
      </c>
      <c r="E93" t="str">
        <f t="shared" si="5"/>
        <v>Great Falls</v>
      </c>
      <c r="F93" t="str">
        <f t="shared" si="6"/>
        <v>Billings</v>
      </c>
      <c r="G93" t="str">
        <f t="shared" si="7"/>
        <v>GFV</v>
      </c>
      <c r="H93" t="str">
        <f t="shared" si="8"/>
        <v>BIL</v>
      </c>
    </row>
    <row r="94" spans="1:8" x14ac:dyDescent="0.2">
      <c r="A94" t="s">
        <v>129</v>
      </c>
      <c r="B94" s="7">
        <v>45090.732638888891</v>
      </c>
      <c r="C94" t="s">
        <v>41</v>
      </c>
      <c r="D94" t="s">
        <v>28</v>
      </c>
      <c r="E94" t="str">
        <f t="shared" si="5"/>
        <v>NoCo</v>
      </c>
      <c r="F94" t="str">
        <f t="shared" si="6"/>
        <v>Grand Junction</v>
      </c>
      <c r="G94" t="str">
        <f t="shared" si="7"/>
        <v>NoCo</v>
      </c>
      <c r="H94" t="str">
        <f t="shared" si="8"/>
        <v>GJJ</v>
      </c>
    </row>
    <row r="95" spans="1:8" x14ac:dyDescent="0.2">
      <c r="A95" t="s">
        <v>130</v>
      </c>
      <c r="B95" s="7">
        <v>45090.753472222226</v>
      </c>
      <c r="C95" t="s">
        <v>34</v>
      </c>
      <c r="D95" t="s">
        <v>31</v>
      </c>
      <c r="E95" t="str">
        <f t="shared" si="5"/>
        <v>Glacier</v>
      </c>
      <c r="F95" t="str">
        <f t="shared" si="6"/>
        <v>Missoula</v>
      </c>
      <c r="G95" t="str">
        <f t="shared" si="7"/>
        <v>GRR</v>
      </c>
      <c r="H95" t="str">
        <f t="shared" si="8"/>
        <v>MIS</v>
      </c>
    </row>
    <row r="96" spans="1:8" x14ac:dyDescent="0.2">
      <c r="A96" t="s">
        <v>131</v>
      </c>
      <c r="B96" s="7">
        <v>45090.753472222226</v>
      </c>
      <c r="C96" t="s">
        <v>29</v>
      </c>
      <c r="D96" t="s">
        <v>38</v>
      </c>
      <c r="E96" t="str">
        <f t="shared" si="5"/>
        <v>Ogden</v>
      </c>
      <c r="F96" t="str">
        <f t="shared" si="6"/>
        <v>Boise</v>
      </c>
      <c r="G96" t="str">
        <f t="shared" si="7"/>
        <v>OGD</v>
      </c>
      <c r="H96" t="str">
        <f t="shared" si="8"/>
        <v>BOI</v>
      </c>
    </row>
    <row r="97" spans="1:8" x14ac:dyDescent="0.2">
      <c r="A97" t="s">
        <v>132</v>
      </c>
      <c r="B97" s="7">
        <v>45090.753472222226</v>
      </c>
      <c r="C97" t="s">
        <v>40</v>
      </c>
      <c r="D97" t="s">
        <v>37</v>
      </c>
      <c r="E97" t="str">
        <f t="shared" si="5"/>
        <v>Rocky Mountain</v>
      </c>
      <c r="F97" t="str">
        <f t="shared" si="6"/>
        <v>Idaho Falls</v>
      </c>
      <c r="G97" t="str">
        <f t="shared" si="7"/>
        <v>RMV</v>
      </c>
      <c r="H97" t="str">
        <f t="shared" si="8"/>
        <v>IDF</v>
      </c>
    </row>
    <row r="98" spans="1:8" x14ac:dyDescent="0.2">
      <c r="A98" t="s">
        <v>133</v>
      </c>
      <c r="B98" s="7">
        <v>45091.732638888891</v>
      </c>
      <c r="C98" t="s">
        <v>35</v>
      </c>
      <c r="D98" t="s">
        <v>32</v>
      </c>
      <c r="E98" t="str">
        <f t="shared" si="5"/>
        <v>Great Falls</v>
      </c>
      <c r="F98" t="str">
        <f t="shared" si="6"/>
        <v>Billings</v>
      </c>
      <c r="G98" t="str">
        <f t="shared" si="7"/>
        <v>GFV</v>
      </c>
      <c r="H98" t="str">
        <f t="shared" si="8"/>
        <v>BIL</v>
      </c>
    </row>
    <row r="99" spans="1:8" x14ac:dyDescent="0.2">
      <c r="A99" t="s">
        <v>134</v>
      </c>
      <c r="B99" s="7">
        <v>45091.732638888891</v>
      </c>
      <c r="C99" t="s">
        <v>41</v>
      </c>
      <c r="D99" t="s">
        <v>28</v>
      </c>
      <c r="E99" t="str">
        <f t="shared" si="5"/>
        <v>NoCo</v>
      </c>
      <c r="F99" t="str">
        <f t="shared" si="6"/>
        <v>Grand Junction</v>
      </c>
      <c r="G99" t="str">
        <f t="shared" si="7"/>
        <v>NoCo</v>
      </c>
      <c r="H99" t="str">
        <f t="shared" si="8"/>
        <v>GJJ</v>
      </c>
    </row>
    <row r="100" spans="1:8" x14ac:dyDescent="0.2">
      <c r="A100" t="s">
        <v>135</v>
      </c>
      <c r="B100" s="7">
        <v>45091.753472222226</v>
      </c>
      <c r="C100" t="s">
        <v>34</v>
      </c>
      <c r="D100" t="s">
        <v>31</v>
      </c>
      <c r="E100" t="str">
        <f t="shared" si="5"/>
        <v>Glacier</v>
      </c>
      <c r="F100" t="str">
        <f t="shared" si="6"/>
        <v>Missoula</v>
      </c>
      <c r="G100" t="str">
        <f t="shared" si="7"/>
        <v>GRR</v>
      </c>
      <c r="H100" t="str">
        <f t="shared" si="8"/>
        <v>MIS</v>
      </c>
    </row>
    <row r="101" spans="1:8" x14ac:dyDescent="0.2">
      <c r="A101" t="s">
        <v>136</v>
      </c>
      <c r="B101" s="7">
        <v>45091.753472222226</v>
      </c>
      <c r="C101" t="s">
        <v>29</v>
      </c>
      <c r="D101" t="s">
        <v>38</v>
      </c>
      <c r="E101" t="str">
        <f t="shared" si="5"/>
        <v>Ogden</v>
      </c>
      <c r="F101" t="str">
        <f t="shared" si="6"/>
        <v>Boise</v>
      </c>
      <c r="G101" t="str">
        <f t="shared" si="7"/>
        <v>OGD</v>
      </c>
      <c r="H101" t="str">
        <f t="shared" si="8"/>
        <v>BOI</v>
      </c>
    </row>
    <row r="102" spans="1:8" x14ac:dyDescent="0.2">
      <c r="A102" t="s">
        <v>137</v>
      </c>
      <c r="B102" s="7">
        <v>45091.753472222226</v>
      </c>
      <c r="C102" t="s">
        <v>40</v>
      </c>
      <c r="D102" t="s">
        <v>37</v>
      </c>
      <c r="E102" t="str">
        <f t="shared" si="5"/>
        <v>Rocky Mountain</v>
      </c>
      <c r="F102" t="str">
        <f t="shared" si="6"/>
        <v>Idaho Falls</v>
      </c>
      <c r="G102" t="str">
        <f t="shared" si="7"/>
        <v>RMV</v>
      </c>
      <c r="H102" t="str">
        <f t="shared" si="8"/>
        <v>IDF</v>
      </c>
    </row>
    <row r="103" spans="1:8" x14ac:dyDescent="0.2">
      <c r="A103" t="s">
        <v>138</v>
      </c>
      <c r="B103" s="7">
        <v>45092.732638888891</v>
      </c>
      <c r="C103" t="s">
        <v>35</v>
      </c>
      <c r="D103" t="s">
        <v>32</v>
      </c>
      <c r="E103" t="str">
        <f t="shared" si="5"/>
        <v>Great Falls</v>
      </c>
      <c r="F103" t="str">
        <f t="shared" si="6"/>
        <v>Billings</v>
      </c>
      <c r="G103" t="str">
        <f t="shared" si="7"/>
        <v>GFV</v>
      </c>
      <c r="H103" t="str">
        <f t="shared" si="8"/>
        <v>BIL</v>
      </c>
    </row>
    <row r="104" spans="1:8" x14ac:dyDescent="0.2">
      <c r="A104" t="s">
        <v>139</v>
      </c>
      <c r="B104" s="7">
        <v>45092.753472222226</v>
      </c>
      <c r="C104" t="s">
        <v>34</v>
      </c>
      <c r="D104" t="s">
        <v>31</v>
      </c>
      <c r="E104" t="str">
        <f t="shared" si="5"/>
        <v>Glacier</v>
      </c>
      <c r="F104" t="str">
        <f t="shared" si="6"/>
        <v>Missoula</v>
      </c>
      <c r="G104" t="str">
        <f t="shared" si="7"/>
        <v>GRR</v>
      </c>
      <c r="H104" t="str">
        <f t="shared" si="8"/>
        <v>MIS</v>
      </c>
    </row>
    <row r="105" spans="1:8" x14ac:dyDescent="0.2">
      <c r="A105" t="s">
        <v>140</v>
      </c>
      <c r="B105" s="7">
        <v>45092.753472222226</v>
      </c>
      <c r="C105" t="s">
        <v>29</v>
      </c>
      <c r="D105" t="s">
        <v>38</v>
      </c>
      <c r="E105" t="str">
        <f t="shared" si="5"/>
        <v>Ogden</v>
      </c>
      <c r="F105" t="str">
        <f t="shared" si="6"/>
        <v>Boise</v>
      </c>
      <c r="G105" t="str">
        <f t="shared" si="7"/>
        <v>OGD</v>
      </c>
      <c r="H105" t="str">
        <f t="shared" si="8"/>
        <v>BOI</v>
      </c>
    </row>
    <row r="106" spans="1:8" x14ac:dyDescent="0.2">
      <c r="A106" t="s">
        <v>141</v>
      </c>
      <c r="B106" s="7">
        <v>45092.753472222226</v>
      </c>
      <c r="C106" t="s">
        <v>40</v>
      </c>
      <c r="D106" t="s">
        <v>37</v>
      </c>
      <c r="E106" t="str">
        <f t="shared" si="5"/>
        <v>Rocky Mountain</v>
      </c>
      <c r="F106" t="str">
        <f t="shared" si="6"/>
        <v>Idaho Falls</v>
      </c>
      <c r="G106" t="str">
        <f t="shared" si="7"/>
        <v>RMV</v>
      </c>
      <c r="H106" t="str">
        <f t="shared" si="8"/>
        <v>IDF</v>
      </c>
    </row>
    <row r="107" spans="1:8" x14ac:dyDescent="0.2">
      <c r="A107" t="s">
        <v>142</v>
      </c>
      <c r="B107" s="7">
        <v>45093.729166666672</v>
      </c>
      <c r="C107" t="s">
        <v>37</v>
      </c>
      <c r="D107" t="s">
        <v>29</v>
      </c>
      <c r="E107" t="str">
        <f t="shared" si="5"/>
        <v>Idaho Falls</v>
      </c>
      <c r="F107" t="str">
        <f t="shared" si="6"/>
        <v>Ogden</v>
      </c>
      <c r="G107" t="str">
        <f t="shared" si="7"/>
        <v>IDF</v>
      </c>
      <c r="H107" t="str">
        <f t="shared" si="8"/>
        <v>OGD</v>
      </c>
    </row>
    <row r="108" spans="1:8" x14ac:dyDescent="0.2">
      <c r="A108" t="s">
        <v>143</v>
      </c>
      <c r="B108" s="7">
        <v>45093.75</v>
      </c>
      <c r="C108" t="s">
        <v>32</v>
      </c>
      <c r="D108" t="s">
        <v>35</v>
      </c>
      <c r="E108" t="str">
        <f t="shared" si="5"/>
        <v>Billings</v>
      </c>
      <c r="F108" t="str">
        <f t="shared" si="6"/>
        <v>Great Falls</v>
      </c>
      <c r="G108" t="str">
        <f t="shared" si="7"/>
        <v>BIL</v>
      </c>
      <c r="H108" t="str">
        <f t="shared" si="8"/>
        <v>GFV</v>
      </c>
    </row>
    <row r="109" spans="1:8" x14ac:dyDescent="0.2">
      <c r="A109" t="s">
        <v>144</v>
      </c>
      <c r="B109" s="7">
        <v>45093.753472222226</v>
      </c>
      <c r="C109" t="s">
        <v>28</v>
      </c>
      <c r="D109" t="s">
        <v>41</v>
      </c>
      <c r="E109" t="str">
        <f t="shared" si="5"/>
        <v>Grand Junction</v>
      </c>
      <c r="F109" t="str">
        <f t="shared" si="6"/>
        <v>NoCo</v>
      </c>
      <c r="G109" t="str">
        <f t="shared" si="7"/>
        <v>GJJ</v>
      </c>
      <c r="H109" t="str">
        <f t="shared" si="8"/>
        <v>NoCo</v>
      </c>
    </row>
    <row r="110" spans="1:8" x14ac:dyDescent="0.2">
      <c r="A110" t="s">
        <v>145</v>
      </c>
      <c r="B110" s="7">
        <v>45093.753472222226</v>
      </c>
      <c r="C110" t="s">
        <v>31</v>
      </c>
      <c r="D110" t="s">
        <v>34</v>
      </c>
      <c r="E110" t="str">
        <f t="shared" si="5"/>
        <v>Missoula</v>
      </c>
      <c r="F110" t="str">
        <f t="shared" si="6"/>
        <v>Glacier</v>
      </c>
      <c r="G110" t="str">
        <f t="shared" si="7"/>
        <v>MIS</v>
      </c>
      <c r="H110" t="str">
        <f t="shared" si="8"/>
        <v>GRR</v>
      </c>
    </row>
    <row r="111" spans="1:8" x14ac:dyDescent="0.2">
      <c r="A111" t="s">
        <v>146</v>
      </c>
      <c r="B111" s="7">
        <v>45093.753472222226</v>
      </c>
      <c r="C111" t="s">
        <v>40</v>
      </c>
      <c r="D111" t="s">
        <v>38</v>
      </c>
      <c r="E111" t="str">
        <f t="shared" si="5"/>
        <v>Rocky Mountain</v>
      </c>
      <c r="F111" t="str">
        <f t="shared" si="6"/>
        <v>Boise</v>
      </c>
      <c r="G111" t="str">
        <f t="shared" si="7"/>
        <v>RMV</v>
      </c>
      <c r="H111" t="str">
        <f t="shared" si="8"/>
        <v>BOI</v>
      </c>
    </row>
    <row r="112" spans="1:8" x14ac:dyDescent="0.2">
      <c r="A112" t="s">
        <v>147</v>
      </c>
      <c r="B112" s="7">
        <v>45094.729166666672</v>
      </c>
      <c r="C112" t="s">
        <v>37</v>
      </c>
      <c r="D112" t="s">
        <v>29</v>
      </c>
      <c r="E112" t="str">
        <f t="shared" si="5"/>
        <v>Idaho Falls</v>
      </c>
      <c r="F112" t="str">
        <f t="shared" si="6"/>
        <v>Ogden</v>
      </c>
      <c r="G112" t="str">
        <f t="shared" si="7"/>
        <v>IDF</v>
      </c>
      <c r="H112" t="str">
        <f t="shared" si="8"/>
        <v>OGD</v>
      </c>
    </row>
    <row r="113" spans="1:8" x14ac:dyDescent="0.2">
      <c r="A113" t="s">
        <v>148</v>
      </c>
      <c r="B113" s="7">
        <v>45094.75</v>
      </c>
      <c r="C113" t="s">
        <v>32</v>
      </c>
      <c r="D113" t="s">
        <v>35</v>
      </c>
      <c r="E113" t="str">
        <f t="shared" si="5"/>
        <v>Billings</v>
      </c>
      <c r="F113" t="str">
        <f t="shared" si="6"/>
        <v>Great Falls</v>
      </c>
      <c r="G113" t="str">
        <f t="shared" si="7"/>
        <v>BIL</v>
      </c>
      <c r="H113" t="str">
        <f t="shared" si="8"/>
        <v>GFV</v>
      </c>
    </row>
    <row r="114" spans="1:8" x14ac:dyDescent="0.2">
      <c r="A114" t="s">
        <v>149</v>
      </c>
      <c r="B114" s="7">
        <v>45094.753472222226</v>
      </c>
      <c r="C114" t="s">
        <v>28</v>
      </c>
      <c r="D114" t="s">
        <v>41</v>
      </c>
      <c r="E114" t="str">
        <f t="shared" si="5"/>
        <v>Grand Junction</v>
      </c>
      <c r="F114" t="str">
        <f t="shared" si="6"/>
        <v>NoCo</v>
      </c>
      <c r="G114" t="str">
        <f t="shared" si="7"/>
        <v>GJJ</v>
      </c>
      <c r="H114" t="str">
        <f t="shared" si="8"/>
        <v>NoCo</v>
      </c>
    </row>
    <row r="115" spans="1:8" x14ac:dyDescent="0.2">
      <c r="A115" t="s">
        <v>150</v>
      </c>
      <c r="B115" s="7">
        <v>45094.753472222226</v>
      </c>
      <c r="C115" t="s">
        <v>31</v>
      </c>
      <c r="D115" t="s">
        <v>34</v>
      </c>
      <c r="E115" t="str">
        <f t="shared" si="5"/>
        <v>Missoula</v>
      </c>
      <c r="F115" t="str">
        <f t="shared" si="6"/>
        <v>Glacier</v>
      </c>
      <c r="G115" t="str">
        <f t="shared" si="7"/>
        <v>MIS</v>
      </c>
      <c r="H115" t="str">
        <f t="shared" si="8"/>
        <v>GRR</v>
      </c>
    </row>
    <row r="116" spans="1:8" x14ac:dyDescent="0.2">
      <c r="A116" t="s">
        <v>151</v>
      </c>
      <c r="B116" s="7">
        <v>45094.753472222226</v>
      </c>
      <c r="C116" t="s">
        <v>40</v>
      </c>
      <c r="D116" t="s">
        <v>38</v>
      </c>
      <c r="E116" t="str">
        <f t="shared" si="5"/>
        <v>Rocky Mountain</v>
      </c>
      <c r="F116" t="str">
        <f t="shared" si="6"/>
        <v>Boise</v>
      </c>
      <c r="G116" t="str">
        <f t="shared" si="7"/>
        <v>RMV</v>
      </c>
      <c r="H116" t="str">
        <f t="shared" si="8"/>
        <v>BOI</v>
      </c>
    </row>
    <row r="117" spans="1:8" x14ac:dyDescent="0.2">
      <c r="A117" t="s">
        <v>152</v>
      </c>
      <c r="B117" s="7">
        <v>45095.4375</v>
      </c>
      <c r="C117" t="s">
        <v>32</v>
      </c>
      <c r="D117" t="s">
        <v>35</v>
      </c>
      <c r="E117" t="str">
        <f t="shared" si="5"/>
        <v>Billings</v>
      </c>
      <c r="F117" t="str">
        <f t="shared" si="6"/>
        <v>Great Falls</v>
      </c>
      <c r="G117" t="str">
        <f t="shared" si="7"/>
        <v>BIL</v>
      </c>
      <c r="H117" t="str">
        <f t="shared" si="8"/>
        <v>GFV</v>
      </c>
    </row>
    <row r="118" spans="1:8" x14ac:dyDescent="0.2">
      <c r="A118" t="s">
        <v>153</v>
      </c>
      <c r="B118" s="7">
        <v>45095.503472222226</v>
      </c>
      <c r="C118" t="s">
        <v>28</v>
      </c>
      <c r="D118" t="s">
        <v>41</v>
      </c>
      <c r="E118" t="str">
        <f t="shared" si="5"/>
        <v>Grand Junction</v>
      </c>
      <c r="F118" t="str">
        <f t="shared" si="6"/>
        <v>NoCo</v>
      </c>
      <c r="G118" t="str">
        <f t="shared" si="7"/>
        <v>GJJ</v>
      </c>
      <c r="H118" t="str">
        <f t="shared" si="8"/>
        <v>NoCo</v>
      </c>
    </row>
    <row r="119" spans="1:8" x14ac:dyDescent="0.2">
      <c r="A119" t="s">
        <v>154</v>
      </c>
      <c r="B119" s="7">
        <v>45095.503472222226</v>
      </c>
      <c r="C119" t="s">
        <v>31</v>
      </c>
      <c r="D119" t="s">
        <v>34</v>
      </c>
      <c r="E119" t="str">
        <f t="shared" si="5"/>
        <v>Missoula</v>
      </c>
      <c r="F119" t="str">
        <f t="shared" si="6"/>
        <v>Glacier</v>
      </c>
      <c r="G119" t="str">
        <f t="shared" si="7"/>
        <v>MIS</v>
      </c>
      <c r="H119" t="str">
        <f t="shared" si="8"/>
        <v>GRR</v>
      </c>
    </row>
    <row r="120" spans="1:8" x14ac:dyDescent="0.2">
      <c r="A120" t="s">
        <v>155</v>
      </c>
      <c r="B120" s="7">
        <v>45095.503472222226</v>
      </c>
      <c r="C120" t="s">
        <v>40</v>
      </c>
      <c r="D120" t="s">
        <v>38</v>
      </c>
      <c r="E120" t="str">
        <f t="shared" si="5"/>
        <v>Rocky Mountain</v>
      </c>
      <c r="F120" t="str">
        <f t="shared" si="6"/>
        <v>Boise</v>
      </c>
      <c r="G120" t="str">
        <f t="shared" si="7"/>
        <v>RMV</v>
      </c>
      <c r="H120" t="str">
        <f t="shared" si="8"/>
        <v>BOI</v>
      </c>
    </row>
    <row r="121" spans="1:8" x14ac:dyDescent="0.2">
      <c r="A121" t="s">
        <v>156</v>
      </c>
      <c r="B121" s="7">
        <v>45095.541666666672</v>
      </c>
      <c r="C121" t="s">
        <v>37</v>
      </c>
      <c r="D121" t="s">
        <v>29</v>
      </c>
      <c r="E121" t="str">
        <f t="shared" si="5"/>
        <v>Idaho Falls</v>
      </c>
      <c r="F121" t="str">
        <f t="shared" si="6"/>
        <v>Ogden</v>
      </c>
      <c r="G121" t="str">
        <f t="shared" si="7"/>
        <v>IDF</v>
      </c>
      <c r="H121" t="str">
        <f t="shared" si="8"/>
        <v>OGD</v>
      </c>
    </row>
    <row r="122" spans="1:8" x14ac:dyDescent="0.2">
      <c r="A122" t="s">
        <v>157</v>
      </c>
      <c r="B122" s="7">
        <v>45097.440972222226</v>
      </c>
      <c r="C122" t="s">
        <v>29</v>
      </c>
      <c r="D122" t="s">
        <v>40</v>
      </c>
      <c r="E122" t="str">
        <f t="shared" si="5"/>
        <v>Ogden</v>
      </c>
      <c r="F122" t="str">
        <f t="shared" si="6"/>
        <v>Rocky Mountain</v>
      </c>
      <c r="G122" t="str">
        <f t="shared" si="7"/>
        <v>OGD</v>
      </c>
      <c r="H122" t="str">
        <f t="shared" si="8"/>
        <v>RMV</v>
      </c>
    </row>
    <row r="123" spans="1:8" x14ac:dyDescent="0.2">
      <c r="A123" t="s">
        <v>158</v>
      </c>
      <c r="B123" s="7">
        <v>45097.732638888891</v>
      </c>
      <c r="C123" t="s">
        <v>38</v>
      </c>
      <c r="D123" t="s">
        <v>28</v>
      </c>
      <c r="E123" t="str">
        <f t="shared" si="5"/>
        <v>Boise</v>
      </c>
      <c r="F123" t="str">
        <f t="shared" si="6"/>
        <v>Grand Junction</v>
      </c>
      <c r="G123" t="str">
        <f t="shared" si="7"/>
        <v>BOI</v>
      </c>
      <c r="H123" t="str">
        <f t="shared" si="8"/>
        <v>GJJ</v>
      </c>
    </row>
    <row r="124" spans="1:8" x14ac:dyDescent="0.2">
      <c r="A124" t="s">
        <v>159</v>
      </c>
      <c r="B124" s="7">
        <v>45097.732638888891</v>
      </c>
      <c r="C124" t="s">
        <v>41</v>
      </c>
      <c r="D124" t="s">
        <v>32</v>
      </c>
      <c r="E124" t="str">
        <f t="shared" si="5"/>
        <v>NoCo</v>
      </c>
      <c r="F124" t="str">
        <f t="shared" si="6"/>
        <v>Billings</v>
      </c>
      <c r="G124" t="str">
        <f t="shared" si="7"/>
        <v>NoCo</v>
      </c>
      <c r="H124" t="str">
        <f t="shared" si="8"/>
        <v>BIL</v>
      </c>
    </row>
    <row r="125" spans="1:8" x14ac:dyDescent="0.2">
      <c r="A125" t="s">
        <v>160</v>
      </c>
      <c r="B125" s="7">
        <v>45097.753472222226</v>
      </c>
      <c r="C125" t="s">
        <v>35</v>
      </c>
      <c r="D125" t="s">
        <v>34</v>
      </c>
      <c r="E125" t="str">
        <f t="shared" si="5"/>
        <v>Great Falls</v>
      </c>
      <c r="F125" t="str">
        <f t="shared" si="6"/>
        <v>Glacier</v>
      </c>
      <c r="G125" t="str">
        <f t="shared" si="7"/>
        <v>GFV</v>
      </c>
      <c r="H125" t="str">
        <f t="shared" si="8"/>
        <v>GRR</v>
      </c>
    </row>
    <row r="126" spans="1:8" x14ac:dyDescent="0.2">
      <c r="A126" t="s">
        <v>161</v>
      </c>
      <c r="B126" s="7">
        <v>45097.753472222226</v>
      </c>
      <c r="C126" t="s">
        <v>31</v>
      </c>
      <c r="D126" t="s">
        <v>37</v>
      </c>
      <c r="E126" t="str">
        <f t="shared" si="5"/>
        <v>Missoula</v>
      </c>
      <c r="F126" t="str">
        <f t="shared" si="6"/>
        <v>Idaho Falls</v>
      </c>
      <c r="G126" t="str">
        <f t="shared" si="7"/>
        <v>MIS</v>
      </c>
      <c r="H126" t="str">
        <f t="shared" si="8"/>
        <v>IDF</v>
      </c>
    </row>
    <row r="127" spans="1:8" x14ac:dyDescent="0.2">
      <c r="A127" t="s">
        <v>162</v>
      </c>
      <c r="B127" s="7">
        <v>45098.732638888891</v>
      </c>
      <c r="C127" t="s">
        <v>38</v>
      </c>
      <c r="D127" t="s">
        <v>28</v>
      </c>
      <c r="E127" t="str">
        <f t="shared" si="5"/>
        <v>Boise</v>
      </c>
      <c r="F127" t="str">
        <f t="shared" si="6"/>
        <v>Grand Junction</v>
      </c>
      <c r="G127" t="str">
        <f t="shared" si="7"/>
        <v>BOI</v>
      </c>
      <c r="H127" t="str">
        <f t="shared" si="8"/>
        <v>GJJ</v>
      </c>
    </row>
    <row r="128" spans="1:8" x14ac:dyDescent="0.2">
      <c r="A128" t="s">
        <v>163</v>
      </c>
      <c r="B128" s="7">
        <v>45098.732638888891</v>
      </c>
      <c r="C128" t="s">
        <v>41</v>
      </c>
      <c r="D128" t="s">
        <v>32</v>
      </c>
      <c r="E128" t="str">
        <f t="shared" si="5"/>
        <v>NoCo</v>
      </c>
      <c r="F128" t="str">
        <f t="shared" si="6"/>
        <v>Billings</v>
      </c>
      <c r="G128" t="str">
        <f t="shared" si="7"/>
        <v>NoCo</v>
      </c>
      <c r="H128" t="str">
        <f t="shared" si="8"/>
        <v>BIL</v>
      </c>
    </row>
    <row r="129" spans="1:8" x14ac:dyDescent="0.2">
      <c r="A129" t="s">
        <v>164</v>
      </c>
      <c r="B129" s="7">
        <v>45098.732638888891</v>
      </c>
      <c r="C129" t="s">
        <v>29</v>
      </c>
      <c r="D129" t="s">
        <v>40</v>
      </c>
      <c r="E129" t="str">
        <f t="shared" si="5"/>
        <v>Ogden</v>
      </c>
      <c r="F129" t="str">
        <f t="shared" si="6"/>
        <v>Rocky Mountain</v>
      </c>
      <c r="G129" t="str">
        <f t="shared" si="7"/>
        <v>OGD</v>
      </c>
      <c r="H129" t="str">
        <f t="shared" si="8"/>
        <v>RMV</v>
      </c>
    </row>
    <row r="130" spans="1:8" x14ac:dyDescent="0.2">
      <c r="A130" t="s">
        <v>165</v>
      </c>
      <c r="B130" s="7">
        <v>45098.753472222226</v>
      </c>
      <c r="C130" t="s">
        <v>35</v>
      </c>
      <c r="D130" t="s">
        <v>34</v>
      </c>
      <c r="E130" t="str">
        <f t="shared" ref="E130:E193" si="9">VLOOKUP(C130,$J$1:$L$10,2,FALSE)</f>
        <v>Great Falls</v>
      </c>
      <c r="F130" t="str">
        <f t="shared" ref="F130:F193" si="10">VLOOKUP(D130,$J$1:$L$10,2,FALSE)</f>
        <v>Glacier</v>
      </c>
      <c r="G130" t="str">
        <f t="shared" ref="G130:G193" si="11">VLOOKUP(C130,$J$1:$L$10,3,FALSE)</f>
        <v>GFV</v>
      </c>
      <c r="H130" t="str">
        <f t="shared" ref="H130:H193" si="12">VLOOKUP(D130,$J$1:$L$10,3,FALSE)</f>
        <v>GRR</v>
      </c>
    </row>
    <row r="131" spans="1:8" x14ac:dyDescent="0.2">
      <c r="A131" t="s">
        <v>166</v>
      </c>
      <c r="B131" s="7">
        <v>45098.753472222226</v>
      </c>
      <c r="C131" t="s">
        <v>31</v>
      </c>
      <c r="D131" t="s">
        <v>37</v>
      </c>
      <c r="E131" t="str">
        <f t="shared" si="9"/>
        <v>Missoula</v>
      </c>
      <c r="F131" t="str">
        <f t="shared" si="10"/>
        <v>Idaho Falls</v>
      </c>
      <c r="G131" t="str">
        <f t="shared" si="11"/>
        <v>MIS</v>
      </c>
      <c r="H131" t="str">
        <f t="shared" si="12"/>
        <v>IDF</v>
      </c>
    </row>
    <row r="132" spans="1:8" x14ac:dyDescent="0.2">
      <c r="A132" t="s">
        <v>167</v>
      </c>
      <c r="B132" s="7">
        <v>45099.732638888891</v>
      </c>
      <c r="C132" t="s">
        <v>38</v>
      </c>
      <c r="D132" t="s">
        <v>28</v>
      </c>
      <c r="E132" t="str">
        <f t="shared" si="9"/>
        <v>Boise</v>
      </c>
      <c r="F132" t="str">
        <f t="shared" si="10"/>
        <v>Grand Junction</v>
      </c>
      <c r="G132" t="str">
        <f t="shared" si="11"/>
        <v>BOI</v>
      </c>
      <c r="H132" t="str">
        <f t="shared" si="12"/>
        <v>GJJ</v>
      </c>
    </row>
    <row r="133" spans="1:8" x14ac:dyDescent="0.2">
      <c r="A133" t="s">
        <v>168</v>
      </c>
      <c r="B133" s="7">
        <v>45099.732638888891</v>
      </c>
      <c r="C133" t="s">
        <v>41</v>
      </c>
      <c r="D133" t="s">
        <v>32</v>
      </c>
      <c r="E133" t="str">
        <f t="shared" si="9"/>
        <v>NoCo</v>
      </c>
      <c r="F133" t="str">
        <f t="shared" si="10"/>
        <v>Billings</v>
      </c>
      <c r="G133" t="str">
        <f t="shared" si="11"/>
        <v>NoCo</v>
      </c>
      <c r="H133" t="str">
        <f t="shared" si="12"/>
        <v>BIL</v>
      </c>
    </row>
    <row r="134" spans="1:8" x14ac:dyDescent="0.2">
      <c r="A134" t="s">
        <v>169</v>
      </c>
      <c r="B134" s="7">
        <v>45099.732638888891</v>
      </c>
      <c r="C134" t="s">
        <v>29</v>
      </c>
      <c r="D134" t="s">
        <v>40</v>
      </c>
      <c r="E134" t="str">
        <f t="shared" si="9"/>
        <v>Ogden</v>
      </c>
      <c r="F134" t="str">
        <f t="shared" si="10"/>
        <v>Rocky Mountain</v>
      </c>
      <c r="G134" t="str">
        <f t="shared" si="11"/>
        <v>OGD</v>
      </c>
      <c r="H134" t="str">
        <f t="shared" si="12"/>
        <v>RMV</v>
      </c>
    </row>
    <row r="135" spans="1:8" x14ac:dyDescent="0.2">
      <c r="A135" t="s">
        <v>170</v>
      </c>
      <c r="B135" s="7">
        <v>45099.753472222226</v>
      </c>
      <c r="C135" t="s">
        <v>35</v>
      </c>
      <c r="D135" t="s">
        <v>34</v>
      </c>
      <c r="E135" t="str">
        <f t="shared" si="9"/>
        <v>Great Falls</v>
      </c>
      <c r="F135" t="str">
        <f t="shared" si="10"/>
        <v>Glacier</v>
      </c>
      <c r="G135" t="str">
        <f t="shared" si="11"/>
        <v>GFV</v>
      </c>
      <c r="H135" t="str">
        <f t="shared" si="12"/>
        <v>GRR</v>
      </c>
    </row>
    <row r="136" spans="1:8" x14ac:dyDescent="0.2">
      <c r="A136" t="s">
        <v>171</v>
      </c>
      <c r="B136" s="7">
        <v>45099.753472222226</v>
      </c>
      <c r="C136" t="s">
        <v>31</v>
      </c>
      <c r="D136" t="s">
        <v>37</v>
      </c>
      <c r="E136" t="str">
        <f t="shared" si="9"/>
        <v>Missoula</v>
      </c>
      <c r="F136" t="str">
        <f t="shared" si="10"/>
        <v>Idaho Falls</v>
      </c>
      <c r="G136" t="str">
        <f t="shared" si="11"/>
        <v>MIS</v>
      </c>
      <c r="H136" t="str">
        <f t="shared" si="12"/>
        <v>IDF</v>
      </c>
    </row>
    <row r="137" spans="1:8" x14ac:dyDescent="0.2">
      <c r="A137" t="s">
        <v>172</v>
      </c>
      <c r="B137" s="7">
        <v>45100.732638888891</v>
      </c>
      <c r="C137" t="s">
        <v>41</v>
      </c>
      <c r="D137" t="s">
        <v>32</v>
      </c>
      <c r="E137" t="str">
        <f t="shared" si="9"/>
        <v>NoCo</v>
      </c>
      <c r="F137" t="str">
        <f t="shared" si="10"/>
        <v>Billings</v>
      </c>
      <c r="G137" t="str">
        <f t="shared" si="11"/>
        <v>NoCo</v>
      </c>
      <c r="H137" t="str">
        <f t="shared" si="12"/>
        <v>BIL</v>
      </c>
    </row>
    <row r="138" spans="1:8" x14ac:dyDescent="0.2">
      <c r="A138" t="s">
        <v>173</v>
      </c>
      <c r="B138" s="7">
        <v>45100.732638888891</v>
      </c>
      <c r="C138" t="s">
        <v>40</v>
      </c>
      <c r="D138" t="s">
        <v>28</v>
      </c>
      <c r="E138" t="str">
        <f t="shared" si="9"/>
        <v>Rocky Mountain</v>
      </c>
      <c r="F138" t="str">
        <f t="shared" si="10"/>
        <v>Grand Junction</v>
      </c>
      <c r="G138" t="str">
        <f t="shared" si="11"/>
        <v>RMV</v>
      </c>
      <c r="H138" t="str">
        <f t="shared" si="12"/>
        <v>GJJ</v>
      </c>
    </row>
    <row r="139" spans="1:8" x14ac:dyDescent="0.2">
      <c r="A139" t="s">
        <v>174</v>
      </c>
      <c r="B139" s="7">
        <v>45100.753472222226</v>
      </c>
      <c r="C139" t="s">
        <v>35</v>
      </c>
      <c r="D139" t="s">
        <v>34</v>
      </c>
      <c r="E139" t="str">
        <f t="shared" si="9"/>
        <v>Great Falls</v>
      </c>
      <c r="F139" t="str">
        <f t="shared" si="10"/>
        <v>Glacier</v>
      </c>
      <c r="G139" t="str">
        <f t="shared" si="11"/>
        <v>GFV</v>
      </c>
      <c r="H139" t="str">
        <f t="shared" si="12"/>
        <v>GRR</v>
      </c>
    </row>
    <row r="140" spans="1:8" x14ac:dyDescent="0.2">
      <c r="A140" t="s">
        <v>175</v>
      </c>
      <c r="B140" s="7">
        <v>45100.753472222226</v>
      </c>
      <c r="C140" t="s">
        <v>37</v>
      </c>
      <c r="D140" t="s">
        <v>31</v>
      </c>
      <c r="E140" t="str">
        <f t="shared" si="9"/>
        <v>Idaho Falls</v>
      </c>
      <c r="F140" t="str">
        <f t="shared" si="10"/>
        <v>Missoula</v>
      </c>
      <c r="G140" t="str">
        <f t="shared" si="11"/>
        <v>IDF</v>
      </c>
      <c r="H140" t="str">
        <f t="shared" si="12"/>
        <v>MIS</v>
      </c>
    </row>
    <row r="141" spans="1:8" x14ac:dyDescent="0.2">
      <c r="A141" t="s">
        <v>176</v>
      </c>
      <c r="B141" s="7">
        <v>45101.729166666672</v>
      </c>
      <c r="C141" t="s">
        <v>38</v>
      </c>
      <c r="D141" t="s">
        <v>29</v>
      </c>
      <c r="E141" t="str">
        <f t="shared" si="9"/>
        <v>Boise</v>
      </c>
      <c r="F141" t="str">
        <f t="shared" si="10"/>
        <v>Ogden</v>
      </c>
      <c r="G141" t="str">
        <f t="shared" si="11"/>
        <v>BOI</v>
      </c>
      <c r="H141" t="str">
        <f t="shared" si="12"/>
        <v>OGD</v>
      </c>
    </row>
    <row r="142" spans="1:8" x14ac:dyDescent="0.2">
      <c r="A142" t="s">
        <v>177</v>
      </c>
      <c r="B142" s="7">
        <v>45101.732638888891</v>
      </c>
      <c r="C142" t="s">
        <v>41</v>
      </c>
      <c r="D142" t="s">
        <v>32</v>
      </c>
      <c r="E142" t="str">
        <f t="shared" si="9"/>
        <v>NoCo</v>
      </c>
      <c r="F142" t="str">
        <f t="shared" si="10"/>
        <v>Billings</v>
      </c>
      <c r="G142" t="str">
        <f t="shared" si="11"/>
        <v>NoCo</v>
      </c>
      <c r="H142" t="str">
        <f t="shared" si="12"/>
        <v>BIL</v>
      </c>
    </row>
    <row r="143" spans="1:8" x14ac:dyDescent="0.2">
      <c r="A143" t="s">
        <v>178</v>
      </c>
      <c r="B143" s="7">
        <v>45101.732638888891</v>
      </c>
      <c r="C143" t="s">
        <v>40</v>
      </c>
      <c r="D143" t="s">
        <v>28</v>
      </c>
      <c r="E143" t="str">
        <f t="shared" si="9"/>
        <v>Rocky Mountain</v>
      </c>
      <c r="F143" t="str">
        <f t="shared" si="10"/>
        <v>Grand Junction</v>
      </c>
      <c r="G143" t="str">
        <f t="shared" si="11"/>
        <v>RMV</v>
      </c>
      <c r="H143" t="str">
        <f t="shared" si="12"/>
        <v>GJJ</v>
      </c>
    </row>
    <row r="144" spans="1:8" x14ac:dyDescent="0.2">
      <c r="A144" t="s">
        <v>179</v>
      </c>
      <c r="B144" s="7">
        <v>45101.753472222226</v>
      </c>
      <c r="C144" t="s">
        <v>35</v>
      </c>
      <c r="D144" t="s">
        <v>34</v>
      </c>
      <c r="E144" t="str">
        <f t="shared" si="9"/>
        <v>Great Falls</v>
      </c>
      <c r="F144" t="str">
        <f t="shared" si="10"/>
        <v>Glacier</v>
      </c>
      <c r="G144" t="str">
        <f t="shared" si="11"/>
        <v>GFV</v>
      </c>
      <c r="H144" t="str">
        <f t="shared" si="12"/>
        <v>GRR</v>
      </c>
    </row>
    <row r="145" spans="1:8" x14ac:dyDescent="0.2">
      <c r="A145" t="s">
        <v>180</v>
      </c>
      <c r="B145" s="7">
        <v>45101.753472222226</v>
      </c>
      <c r="C145" t="s">
        <v>37</v>
      </c>
      <c r="D145" t="s">
        <v>31</v>
      </c>
      <c r="E145" t="str">
        <f t="shared" si="9"/>
        <v>Idaho Falls</v>
      </c>
      <c r="F145" t="str">
        <f t="shared" si="10"/>
        <v>Missoula</v>
      </c>
      <c r="G145" t="str">
        <f t="shared" si="11"/>
        <v>IDF</v>
      </c>
      <c r="H145" t="str">
        <f t="shared" si="12"/>
        <v>MIS</v>
      </c>
    </row>
    <row r="146" spans="1:8" x14ac:dyDescent="0.2">
      <c r="A146" t="s">
        <v>181</v>
      </c>
      <c r="B146" s="7">
        <v>45102.503472222226</v>
      </c>
      <c r="C146" t="s">
        <v>35</v>
      </c>
      <c r="D146" t="s">
        <v>34</v>
      </c>
      <c r="E146" t="str">
        <f t="shared" si="9"/>
        <v>Great Falls</v>
      </c>
      <c r="F146" t="str">
        <f t="shared" si="10"/>
        <v>Glacier</v>
      </c>
      <c r="G146" t="str">
        <f t="shared" si="11"/>
        <v>GFV</v>
      </c>
      <c r="H146" t="str">
        <f t="shared" si="12"/>
        <v>GRR</v>
      </c>
    </row>
    <row r="147" spans="1:8" x14ac:dyDescent="0.2">
      <c r="A147" t="s">
        <v>182</v>
      </c>
      <c r="B147" s="7">
        <v>45102.503472222226</v>
      </c>
      <c r="C147" t="s">
        <v>41</v>
      </c>
      <c r="D147" t="s">
        <v>32</v>
      </c>
      <c r="E147" t="str">
        <f t="shared" si="9"/>
        <v>NoCo</v>
      </c>
      <c r="F147" t="str">
        <f t="shared" si="10"/>
        <v>Billings</v>
      </c>
      <c r="G147" t="str">
        <f t="shared" si="11"/>
        <v>NoCo</v>
      </c>
      <c r="H147" t="str">
        <f t="shared" si="12"/>
        <v>BIL</v>
      </c>
    </row>
    <row r="148" spans="1:8" x14ac:dyDescent="0.2">
      <c r="A148" t="s">
        <v>183</v>
      </c>
      <c r="B148" s="7">
        <v>45102.541666666672</v>
      </c>
      <c r="C148" t="s">
        <v>38</v>
      </c>
      <c r="D148" t="s">
        <v>29</v>
      </c>
      <c r="E148" t="str">
        <f t="shared" si="9"/>
        <v>Boise</v>
      </c>
      <c r="F148" t="str">
        <f t="shared" si="10"/>
        <v>Ogden</v>
      </c>
      <c r="G148" t="str">
        <f t="shared" si="11"/>
        <v>BOI</v>
      </c>
      <c r="H148" t="str">
        <f t="shared" si="12"/>
        <v>OGD</v>
      </c>
    </row>
    <row r="149" spans="1:8" x14ac:dyDescent="0.2">
      <c r="A149" t="s">
        <v>184</v>
      </c>
      <c r="B149" s="7">
        <v>45102.545138888891</v>
      </c>
      <c r="C149" t="s">
        <v>37</v>
      </c>
      <c r="D149" t="s">
        <v>31</v>
      </c>
      <c r="E149" t="str">
        <f t="shared" si="9"/>
        <v>Idaho Falls</v>
      </c>
      <c r="F149" t="str">
        <f t="shared" si="10"/>
        <v>Missoula</v>
      </c>
      <c r="G149" t="str">
        <f t="shared" si="11"/>
        <v>IDF</v>
      </c>
      <c r="H149" t="str">
        <f t="shared" si="12"/>
        <v>MIS</v>
      </c>
    </row>
    <row r="150" spans="1:8" x14ac:dyDescent="0.2">
      <c r="A150" t="s">
        <v>185</v>
      </c>
      <c r="B150" s="7">
        <v>45102.545138888891</v>
      </c>
      <c r="C150" t="s">
        <v>40</v>
      </c>
      <c r="D150" t="s">
        <v>28</v>
      </c>
      <c r="E150" t="str">
        <f t="shared" si="9"/>
        <v>Rocky Mountain</v>
      </c>
      <c r="F150" t="str">
        <f t="shared" si="10"/>
        <v>Grand Junction</v>
      </c>
      <c r="G150" t="str">
        <f t="shared" si="11"/>
        <v>RMV</v>
      </c>
      <c r="H150" t="str">
        <f t="shared" si="12"/>
        <v>GJJ</v>
      </c>
    </row>
    <row r="151" spans="1:8" x14ac:dyDescent="0.2">
      <c r="A151" t="s">
        <v>186</v>
      </c>
      <c r="B151" s="7">
        <v>45103.729166666672</v>
      </c>
      <c r="C151" t="s">
        <v>38</v>
      </c>
      <c r="D151" t="s">
        <v>29</v>
      </c>
      <c r="E151" t="str">
        <f t="shared" si="9"/>
        <v>Boise</v>
      </c>
      <c r="F151" t="str">
        <f t="shared" si="10"/>
        <v>Ogden</v>
      </c>
      <c r="G151" t="str">
        <f t="shared" si="11"/>
        <v>BOI</v>
      </c>
      <c r="H151" t="str">
        <f t="shared" si="12"/>
        <v>OGD</v>
      </c>
    </row>
    <row r="152" spans="1:8" x14ac:dyDescent="0.2">
      <c r="A152" t="s">
        <v>187</v>
      </c>
      <c r="B152" s="7">
        <v>45104.729166666672</v>
      </c>
      <c r="C152" t="s">
        <v>37</v>
      </c>
      <c r="D152" t="s">
        <v>29</v>
      </c>
      <c r="E152" t="str">
        <f t="shared" si="9"/>
        <v>Idaho Falls</v>
      </c>
      <c r="F152" t="str">
        <f t="shared" si="10"/>
        <v>Ogden</v>
      </c>
      <c r="G152" t="str">
        <f t="shared" si="11"/>
        <v>IDF</v>
      </c>
      <c r="H152" t="str">
        <f t="shared" si="12"/>
        <v>OGD</v>
      </c>
    </row>
    <row r="153" spans="1:8" x14ac:dyDescent="0.2">
      <c r="A153" t="s">
        <v>188</v>
      </c>
      <c r="B153" s="7">
        <v>45104.732638888891</v>
      </c>
      <c r="C153" t="s">
        <v>32</v>
      </c>
      <c r="D153" t="s">
        <v>40</v>
      </c>
      <c r="E153" t="str">
        <f t="shared" si="9"/>
        <v>Billings</v>
      </c>
      <c r="F153" t="str">
        <f t="shared" si="10"/>
        <v>Rocky Mountain</v>
      </c>
      <c r="G153" t="str">
        <f t="shared" si="11"/>
        <v>BIL</v>
      </c>
      <c r="H153" t="str">
        <f t="shared" si="12"/>
        <v>RMV</v>
      </c>
    </row>
    <row r="154" spans="1:8" x14ac:dyDescent="0.2">
      <c r="A154" t="s">
        <v>189</v>
      </c>
      <c r="B154" s="7">
        <v>45104.75</v>
      </c>
      <c r="C154" t="s">
        <v>31</v>
      </c>
      <c r="D154" t="s">
        <v>35</v>
      </c>
      <c r="E154" t="str">
        <f t="shared" si="9"/>
        <v>Missoula</v>
      </c>
      <c r="F154" t="str">
        <f t="shared" si="10"/>
        <v>Great Falls</v>
      </c>
      <c r="G154" t="str">
        <f t="shared" si="11"/>
        <v>MIS</v>
      </c>
      <c r="H154" t="str">
        <f t="shared" si="12"/>
        <v>GFV</v>
      </c>
    </row>
    <row r="155" spans="1:8" x14ac:dyDescent="0.2">
      <c r="A155" t="s">
        <v>190</v>
      </c>
      <c r="B155" s="7">
        <v>45104.753472222226</v>
      </c>
      <c r="C155" t="s">
        <v>34</v>
      </c>
      <c r="D155" t="s">
        <v>38</v>
      </c>
      <c r="E155" t="str">
        <f t="shared" si="9"/>
        <v>Glacier</v>
      </c>
      <c r="F155" t="str">
        <f t="shared" si="10"/>
        <v>Boise</v>
      </c>
      <c r="G155" t="str">
        <f t="shared" si="11"/>
        <v>GRR</v>
      </c>
      <c r="H155" t="str">
        <f t="shared" si="12"/>
        <v>BOI</v>
      </c>
    </row>
    <row r="156" spans="1:8" x14ac:dyDescent="0.2">
      <c r="A156" t="s">
        <v>191</v>
      </c>
      <c r="B156" s="7">
        <v>45104.753472222226</v>
      </c>
      <c r="C156" t="s">
        <v>28</v>
      </c>
      <c r="D156" t="s">
        <v>41</v>
      </c>
      <c r="E156" t="str">
        <f t="shared" si="9"/>
        <v>Grand Junction</v>
      </c>
      <c r="F156" t="str">
        <f t="shared" si="10"/>
        <v>NoCo</v>
      </c>
      <c r="G156" t="str">
        <f t="shared" si="11"/>
        <v>GJJ</v>
      </c>
      <c r="H156" t="str">
        <f t="shared" si="12"/>
        <v>NoCo</v>
      </c>
    </row>
    <row r="157" spans="1:8" x14ac:dyDescent="0.2">
      <c r="A157" t="s">
        <v>192</v>
      </c>
      <c r="B157" s="7">
        <v>45105.729166666672</v>
      </c>
      <c r="C157" t="s">
        <v>37</v>
      </c>
      <c r="D157" t="s">
        <v>29</v>
      </c>
      <c r="E157" t="str">
        <f t="shared" si="9"/>
        <v>Idaho Falls</v>
      </c>
      <c r="F157" t="str">
        <f t="shared" si="10"/>
        <v>Ogden</v>
      </c>
      <c r="G157" t="str">
        <f t="shared" si="11"/>
        <v>IDF</v>
      </c>
      <c r="H157" t="str">
        <f t="shared" si="12"/>
        <v>OGD</v>
      </c>
    </row>
    <row r="158" spans="1:8" x14ac:dyDescent="0.2">
      <c r="A158" t="s">
        <v>193</v>
      </c>
      <c r="B158" s="7">
        <v>45105.732638888891</v>
      </c>
      <c r="C158" t="s">
        <v>32</v>
      </c>
      <c r="D158" t="s">
        <v>40</v>
      </c>
      <c r="E158" t="str">
        <f t="shared" si="9"/>
        <v>Billings</v>
      </c>
      <c r="F158" t="str">
        <f t="shared" si="10"/>
        <v>Rocky Mountain</v>
      </c>
      <c r="G158" t="str">
        <f t="shared" si="11"/>
        <v>BIL</v>
      </c>
      <c r="H158" t="str">
        <f t="shared" si="12"/>
        <v>RMV</v>
      </c>
    </row>
    <row r="159" spans="1:8" x14ac:dyDescent="0.2">
      <c r="A159" t="s">
        <v>194</v>
      </c>
      <c r="B159" s="7">
        <v>45105.75</v>
      </c>
      <c r="C159" t="s">
        <v>31</v>
      </c>
      <c r="D159" t="s">
        <v>35</v>
      </c>
      <c r="E159" t="str">
        <f t="shared" si="9"/>
        <v>Missoula</v>
      </c>
      <c r="F159" t="str">
        <f t="shared" si="10"/>
        <v>Great Falls</v>
      </c>
      <c r="G159" t="str">
        <f t="shared" si="11"/>
        <v>MIS</v>
      </c>
      <c r="H159" t="str">
        <f t="shared" si="12"/>
        <v>GFV</v>
      </c>
    </row>
    <row r="160" spans="1:8" x14ac:dyDescent="0.2">
      <c r="A160" t="s">
        <v>195</v>
      </c>
      <c r="B160" s="7">
        <v>45105.753472222226</v>
      </c>
      <c r="C160" t="s">
        <v>34</v>
      </c>
      <c r="D160" t="s">
        <v>38</v>
      </c>
      <c r="E160" t="str">
        <f t="shared" si="9"/>
        <v>Glacier</v>
      </c>
      <c r="F160" t="str">
        <f t="shared" si="10"/>
        <v>Boise</v>
      </c>
      <c r="G160" t="str">
        <f t="shared" si="11"/>
        <v>GRR</v>
      </c>
      <c r="H160" t="str">
        <f t="shared" si="12"/>
        <v>BOI</v>
      </c>
    </row>
    <row r="161" spans="1:8" x14ac:dyDescent="0.2">
      <c r="A161" t="s">
        <v>196</v>
      </c>
      <c r="B161" s="7">
        <v>45105.753472222226</v>
      </c>
      <c r="C161" t="s">
        <v>28</v>
      </c>
      <c r="D161" t="s">
        <v>41</v>
      </c>
      <c r="E161" t="str">
        <f t="shared" si="9"/>
        <v>Grand Junction</v>
      </c>
      <c r="F161" t="str">
        <f t="shared" si="10"/>
        <v>NoCo</v>
      </c>
      <c r="G161" t="str">
        <f t="shared" si="11"/>
        <v>GJJ</v>
      </c>
      <c r="H161" t="str">
        <f t="shared" si="12"/>
        <v>NoCo</v>
      </c>
    </row>
    <row r="162" spans="1:8" x14ac:dyDescent="0.2">
      <c r="A162" t="s">
        <v>197</v>
      </c>
      <c r="B162" s="7">
        <v>45106.729166666672</v>
      </c>
      <c r="C162" t="s">
        <v>37</v>
      </c>
      <c r="D162" t="s">
        <v>29</v>
      </c>
      <c r="E162" t="str">
        <f t="shared" si="9"/>
        <v>Idaho Falls</v>
      </c>
      <c r="F162" t="str">
        <f t="shared" si="10"/>
        <v>Ogden</v>
      </c>
      <c r="G162" t="str">
        <f t="shared" si="11"/>
        <v>IDF</v>
      </c>
      <c r="H162" t="str">
        <f t="shared" si="12"/>
        <v>OGD</v>
      </c>
    </row>
    <row r="163" spans="1:8" x14ac:dyDescent="0.2">
      <c r="A163" t="s">
        <v>198</v>
      </c>
      <c r="B163" s="7">
        <v>45106.732638888891</v>
      </c>
      <c r="C163" t="s">
        <v>32</v>
      </c>
      <c r="D163" t="s">
        <v>40</v>
      </c>
      <c r="E163" t="str">
        <f t="shared" si="9"/>
        <v>Billings</v>
      </c>
      <c r="F163" t="str">
        <f t="shared" si="10"/>
        <v>Rocky Mountain</v>
      </c>
      <c r="G163" t="str">
        <f t="shared" si="11"/>
        <v>BIL</v>
      </c>
      <c r="H163" t="str">
        <f t="shared" si="12"/>
        <v>RMV</v>
      </c>
    </row>
    <row r="164" spans="1:8" x14ac:dyDescent="0.2">
      <c r="A164" t="s">
        <v>199</v>
      </c>
      <c r="B164" s="7">
        <v>45106.75</v>
      </c>
      <c r="C164" t="s">
        <v>31</v>
      </c>
      <c r="D164" t="s">
        <v>35</v>
      </c>
      <c r="E164" t="str">
        <f t="shared" si="9"/>
        <v>Missoula</v>
      </c>
      <c r="F164" t="str">
        <f t="shared" si="10"/>
        <v>Great Falls</v>
      </c>
      <c r="G164" t="str">
        <f t="shared" si="11"/>
        <v>MIS</v>
      </c>
      <c r="H164" t="str">
        <f t="shared" si="12"/>
        <v>GFV</v>
      </c>
    </row>
    <row r="165" spans="1:8" x14ac:dyDescent="0.2">
      <c r="A165" t="s">
        <v>200</v>
      </c>
      <c r="B165" s="7">
        <v>45106.753472222226</v>
      </c>
      <c r="C165" t="s">
        <v>34</v>
      </c>
      <c r="D165" t="s">
        <v>38</v>
      </c>
      <c r="E165" t="str">
        <f t="shared" si="9"/>
        <v>Glacier</v>
      </c>
      <c r="F165" t="str">
        <f t="shared" si="10"/>
        <v>Boise</v>
      </c>
      <c r="G165" t="str">
        <f t="shared" si="11"/>
        <v>GRR</v>
      </c>
      <c r="H165" t="str">
        <f t="shared" si="12"/>
        <v>BOI</v>
      </c>
    </row>
    <row r="166" spans="1:8" x14ac:dyDescent="0.2">
      <c r="A166" t="s">
        <v>201</v>
      </c>
      <c r="B166" s="7">
        <v>45106.753472222226</v>
      </c>
      <c r="C166" t="s">
        <v>28</v>
      </c>
      <c r="D166" t="s">
        <v>41</v>
      </c>
      <c r="E166" t="str">
        <f t="shared" si="9"/>
        <v>Grand Junction</v>
      </c>
      <c r="F166" t="str">
        <f t="shared" si="10"/>
        <v>NoCo</v>
      </c>
      <c r="G166" t="str">
        <f t="shared" si="11"/>
        <v>GJJ</v>
      </c>
      <c r="H166" t="str">
        <f t="shared" si="12"/>
        <v>NoCo</v>
      </c>
    </row>
    <row r="167" spans="1:8" x14ac:dyDescent="0.2">
      <c r="A167" t="s">
        <v>202</v>
      </c>
      <c r="B167" s="7">
        <v>45107.732638888891</v>
      </c>
      <c r="C167" t="s">
        <v>40</v>
      </c>
      <c r="D167" t="s">
        <v>28</v>
      </c>
      <c r="E167" t="str">
        <f t="shared" si="9"/>
        <v>Rocky Mountain</v>
      </c>
      <c r="F167" t="str">
        <f t="shared" si="10"/>
        <v>Grand Junction</v>
      </c>
      <c r="G167" t="str">
        <f t="shared" si="11"/>
        <v>RMV</v>
      </c>
      <c r="H167" t="str">
        <f t="shared" si="12"/>
        <v>GJJ</v>
      </c>
    </row>
    <row r="168" spans="1:8" x14ac:dyDescent="0.2">
      <c r="A168" t="s">
        <v>203</v>
      </c>
      <c r="B168" s="7">
        <v>45107.753472222226</v>
      </c>
      <c r="C168" t="s">
        <v>32</v>
      </c>
      <c r="D168" t="s">
        <v>41</v>
      </c>
      <c r="E168" t="str">
        <f t="shared" si="9"/>
        <v>Billings</v>
      </c>
      <c r="F168" t="str">
        <f t="shared" si="10"/>
        <v>NoCo</v>
      </c>
      <c r="G168" t="str">
        <f t="shared" si="11"/>
        <v>BIL</v>
      </c>
      <c r="H168" t="str">
        <f t="shared" si="12"/>
        <v>NoCo</v>
      </c>
    </row>
    <row r="169" spans="1:8" x14ac:dyDescent="0.2">
      <c r="A169" t="s">
        <v>204</v>
      </c>
      <c r="B169" s="7">
        <v>45107.753472222226</v>
      </c>
      <c r="C169" t="s">
        <v>34</v>
      </c>
      <c r="D169" t="s">
        <v>31</v>
      </c>
      <c r="E169" t="str">
        <f t="shared" si="9"/>
        <v>Glacier</v>
      </c>
      <c r="F169" t="str">
        <f t="shared" si="10"/>
        <v>Missoula</v>
      </c>
      <c r="G169" t="str">
        <f t="shared" si="11"/>
        <v>GRR</v>
      </c>
      <c r="H169" t="str">
        <f t="shared" si="12"/>
        <v>MIS</v>
      </c>
    </row>
    <row r="170" spans="1:8" x14ac:dyDescent="0.2">
      <c r="A170" t="s">
        <v>205</v>
      </c>
      <c r="B170" s="7">
        <v>45107.753472222226</v>
      </c>
      <c r="C170" t="s">
        <v>35</v>
      </c>
      <c r="D170" t="s">
        <v>38</v>
      </c>
      <c r="E170" t="str">
        <f t="shared" si="9"/>
        <v>Great Falls</v>
      </c>
      <c r="F170" t="str">
        <f t="shared" si="10"/>
        <v>Boise</v>
      </c>
      <c r="G170" t="str">
        <f t="shared" si="11"/>
        <v>GFV</v>
      </c>
      <c r="H170" t="str">
        <f t="shared" si="12"/>
        <v>BOI</v>
      </c>
    </row>
    <row r="171" spans="1:8" x14ac:dyDescent="0.2">
      <c r="A171" t="s">
        <v>206</v>
      </c>
      <c r="B171" s="7">
        <v>45107.753472222226</v>
      </c>
      <c r="C171" t="s">
        <v>29</v>
      </c>
      <c r="D171" t="s">
        <v>37</v>
      </c>
      <c r="E171" t="str">
        <f t="shared" si="9"/>
        <v>Ogden</v>
      </c>
      <c r="F171" t="str">
        <f t="shared" si="10"/>
        <v>Idaho Falls</v>
      </c>
      <c r="G171" t="str">
        <f t="shared" si="11"/>
        <v>OGD</v>
      </c>
      <c r="H171" t="str">
        <f t="shared" si="12"/>
        <v>IDF</v>
      </c>
    </row>
    <row r="172" spans="1:8" x14ac:dyDescent="0.2">
      <c r="A172" t="s">
        <v>207</v>
      </c>
      <c r="B172" s="7">
        <v>45108.732638888891</v>
      </c>
      <c r="C172" t="s">
        <v>40</v>
      </c>
      <c r="D172" t="s">
        <v>28</v>
      </c>
      <c r="E172" t="str">
        <f t="shared" si="9"/>
        <v>Rocky Mountain</v>
      </c>
      <c r="F172" t="str">
        <f t="shared" si="10"/>
        <v>Grand Junction</v>
      </c>
      <c r="G172" t="str">
        <f t="shared" si="11"/>
        <v>RMV</v>
      </c>
      <c r="H172" t="str">
        <f t="shared" si="12"/>
        <v>GJJ</v>
      </c>
    </row>
    <row r="173" spans="1:8" x14ac:dyDescent="0.2">
      <c r="A173" t="s">
        <v>208</v>
      </c>
      <c r="B173" s="7">
        <v>45108.753472222226</v>
      </c>
      <c r="C173" t="s">
        <v>32</v>
      </c>
      <c r="D173" t="s">
        <v>41</v>
      </c>
      <c r="E173" t="str">
        <f t="shared" si="9"/>
        <v>Billings</v>
      </c>
      <c r="F173" t="str">
        <f t="shared" si="10"/>
        <v>NoCo</v>
      </c>
      <c r="G173" t="str">
        <f t="shared" si="11"/>
        <v>BIL</v>
      </c>
      <c r="H173" t="str">
        <f t="shared" si="12"/>
        <v>NoCo</v>
      </c>
    </row>
    <row r="174" spans="1:8" x14ac:dyDescent="0.2">
      <c r="A174" t="s">
        <v>209</v>
      </c>
      <c r="B174" s="7">
        <v>45108.753472222226</v>
      </c>
      <c r="C174" t="s">
        <v>34</v>
      </c>
      <c r="D174" t="s">
        <v>31</v>
      </c>
      <c r="E174" t="str">
        <f t="shared" si="9"/>
        <v>Glacier</v>
      </c>
      <c r="F174" t="str">
        <f t="shared" si="10"/>
        <v>Missoula</v>
      </c>
      <c r="G174" t="str">
        <f t="shared" si="11"/>
        <v>GRR</v>
      </c>
      <c r="H174" t="str">
        <f t="shared" si="12"/>
        <v>MIS</v>
      </c>
    </row>
    <row r="175" spans="1:8" x14ac:dyDescent="0.2">
      <c r="A175" t="s">
        <v>210</v>
      </c>
      <c r="B175" s="7">
        <v>45108.753472222226</v>
      </c>
      <c r="C175" t="s">
        <v>35</v>
      </c>
      <c r="D175" t="s">
        <v>38</v>
      </c>
      <c r="E175" t="str">
        <f t="shared" si="9"/>
        <v>Great Falls</v>
      </c>
      <c r="F175" t="str">
        <f t="shared" si="10"/>
        <v>Boise</v>
      </c>
      <c r="G175" t="str">
        <f t="shared" si="11"/>
        <v>GFV</v>
      </c>
      <c r="H175" t="str">
        <f t="shared" si="12"/>
        <v>BOI</v>
      </c>
    </row>
    <row r="176" spans="1:8" x14ac:dyDescent="0.2">
      <c r="A176" t="s">
        <v>211</v>
      </c>
      <c r="B176" s="7">
        <v>45108.753472222226</v>
      </c>
      <c r="C176" t="s">
        <v>29</v>
      </c>
      <c r="D176" t="s">
        <v>37</v>
      </c>
      <c r="E176" t="str">
        <f t="shared" si="9"/>
        <v>Ogden</v>
      </c>
      <c r="F176" t="str">
        <f t="shared" si="10"/>
        <v>Idaho Falls</v>
      </c>
      <c r="G176" t="str">
        <f t="shared" si="11"/>
        <v>OGD</v>
      </c>
      <c r="H176" t="str">
        <f t="shared" si="12"/>
        <v>IDF</v>
      </c>
    </row>
    <row r="177" spans="1:8" x14ac:dyDescent="0.2">
      <c r="A177" t="s">
        <v>212</v>
      </c>
      <c r="B177" s="7">
        <v>45109.503472222226</v>
      </c>
      <c r="C177" t="s">
        <v>32</v>
      </c>
      <c r="D177" t="s">
        <v>41</v>
      </c>
      <c r="E177" t="str">
        <f t="shared" si="9"/>
        <v>Billings</v>
      </c>
      <c r="F177" t="str">
        <f t="shared" si="10"/>
        <v>NoCo</v>
      </c>
      <c r="G177" t="str">
        <f t="shared" si="11"/>
        <v>BIL</v>
      </c>
      <c r="H177" t="str">
        <f t="shared" si="12"/>
        <v>NoCo</v>
      </c>
    </row>
    <row r="178" spans="1:8" x14ac:dyDescent="0.2">
      <c r="A178" t="s">
        <v>213</v>
      </c>
      <c r="B178" s="7">
        <v>45109.545138888891</v>
      </c>
      <c r="C178" t="s">
        <v>40</v>
      </c>
      <c r="D178" t="s">
        <v>28</v>
      </c>
      <c r="E178" t="str">
        <f t="shared" si="9"/>
        <v>Rocky Mountain</v>
      </c>
      <c r="F178" t="str">
        <f t="shared" si="10"/>
        <v>Grand Junction</v>
      </c>
      <c r="G178" t="str">
        <f t="shared" si="11"/>
        <v>RMV</v>
      </c>
      <c r="H178" t="str">
        <f t="shared" si="12"/>
        <v>GJJ</v>
      </c>
    </row>
    <row r="179" spans="1:8" x14ac:dyDescent="0.2">
      <c r="A179" t="s">
        <v>214</v>
      </c>
      <c r="B179" s="7">
        <v>45109.753472222226</v>
      </c>
      <c r="C179" t="s">
        <v>34</v>
      </c>
      <c r="D179" t="s">
        <v>31</v>
      </c>
      <c r="E179" t="str">
        <f t="shared" si="9"/>
        <v>Glacier</v>
      </c>
      <c r="F179" t="str">
        <f t="shared" si="10"/>
        <v>Missoula</v>
      </c>
      <c r="G179" t="str">
        <f t="shared" si="11"/>
        <v>GRR</v>
      </c>
      <c r="H179" t="str">
        <f t="shared" si="12"/>
        <v>MIS</v>
      </c>
    </row>
    <row r="180" spans="1:8" x14ac:dyDescent="0.2">
      <c r="A180" t="s">
        <v>215</v>
      </c>
      <c r="B180" s="7">
        <v>45109.753472222226</v>
      </c>
      <c r="C180" t="s">
        <v>35</v>
      </c>
      <c r="D180" t="s">
        <v>38</v>
      </c>
      <c r="E180" t="str">
        <f t="shared" si="9"/>
        <v>Great Falls</v>
      </c>
      <c r="F180" t="str">
        <f t="shared" si="10"/>
        <v>Boise</v>
      </c>
      <c r="G180" t="str">
        <f t="shared" si="11"/>
        <v>GFV</v>
      </c>
      <c r="H180" t="str">
        <f t="shared" si="12"/>
        <v>BOI</v>
      </c>
    </row>
    <row r="181" spans="1:8" x14ac:dyDescent="0.2">
      <c r="A181" t="s">
        <v>216</v>
      </c>
      <c r="B181" s="7">
        <v>45109.753472222226</v>
      </c>
      <c r="C181" t="s">
        <v>29</v>
      </c>
      <c r="D181" t="s">
        <v>37</v>
      </c>
      <c r="E181" t="str">
        <f t="shared" si="9"/>
        <v>Ogden</v>
      </c>
      <c r="F181" t="str">
        <f t="shared" si="10"/>
        <v>Idaho Falls</v>
      </c>
      <c r="G181" t="str">
        <f t="shared" si="11"/>
        <v>OGD</v>
      </c>
      <c r="H181" t="str">
        <f t="shared" si="12"/>
        <v>IDF</v>
      </c>
    </row>
    <row r="182" spans="1:8" x14ac:dyDescent="0.2">
      <c r="A182" t="s">
        <v>217</v>
      </c>
      <c r="B182" s="7">
        <v>45110.732638888891</v>
      </c>
      <c r="C182" t="s">
        <v>38</v>
      </c>
      <c r="D182" t="s">
        <v>28</v>
      </c>
      <c r="E182" t="str">
        <f t="shared" si="9"/>
        <v>Boise</v>
      </c>
      <c r="F182" t="str">
        <f t="shared" si="10"/>
        <v>Grand Junction</v>
      </c>
      <c r="G182" t="str">
        <f t="shared" si="11"/>
        <v>BOI</v>
      </c>
      <c r="H182" t="str">
        <f t="shared" si="12"/>
        <v>GJJ</v>
      </c>
    </row>
    <row r="183" spans="1:8" x14ac:dyDescent="0.2">
      <c r="A183" t="s">
        <v>218</v>
      </c>
      <c r="B183" s="7">
        <v>45110.732638888891</v>
      </c>
      <c r="C183" t="s">
        <v>31</v>
      </c>
      <c r="D183" t="s">
        <v>32</v>
      </c>
      <c r="E183" t="str">
        <f t="shared" si="9"/>
        <v>Missoula</v>
      </c>
      <c r="F183" t="str">
        <f t="shared" si="10"/>
        <v>Billings</v>
      </c>
      <c r="G183" t="str">
        <f t="shared" si="11"/>
        <v>MIS</v>
      </c>
      <c r="H183" t="str">
        <f t="shared" si="12"/>
        <v>BIL</v>
      </c>
    </row>
    <row r="184" spans="1:8" x14ac:dyDescent="0.2">
      <c r="A184" t="s">
        <v>219</v>
      </c>
      <c r="B184" s="7">
        <v>45110.732638888891</v>
      </c>
      <c r="C184" t="s">
        <v>41</v>
      </c>
      <c r="D184" t="s">
        <v>40</v>
      </c>
      <c r="E184" t="str">
        <f t="shared" si="9"/>
        <v>NoCo</v>
      </c>
      <c r="F184" t="str">
        <f t="shared" si="10"/>
        <v>Rocky Mountain</v>
      </c>
      <c r="G184" t="str">
        <f t="shared" si="11"/>
        <v>NoCo</v>
      </c>
      <c r="H184" t="str">
        <f t="shared" si="12"/>
        <v>RMV</v>
      </c>
    </row>
    <row r="185" spans="1:8" x14ac:dyDescent="0.2">
      <c r="A185" t="s">
        <v>220</v>
      </c>
      <c r="B185" s="7">
        <v>45110.75</v>
      </c>
      <c r="C185" t="s">
        <v>37</v>
      </c>
      <c r="D185" t="s">
        <v>35</v>
      </c>
      <c r="E185" t="str">
        <f t="shared" si="9"/>
        <v>Idaho Falls</v>
      </c>
      <c r="F185" t="str">
        <f t="shared" si="10"/>
        <v>Great Falls</v>
      </c>
      <c r="G185" t="str">
        <f t="shared" si="11"/>
        <v>IDF</v>
      </c>
      <c r="H185" t="str">
        <f t="shared" si="12"/>
        <v>GFV</v>
      </c>
    </row>
    <row r="186" spans="1:8" x14ac:dyDescent="0.2">
      <c r="A186" t="s">
        <v>221</v>
      </c>
      <c r="B186" s="7">
        <v>45110.753472222226</v>
      </c>
      <c r="C186" t="s">
        <v>29</v>
      </c>
      <c r="D186" t="s">
        <v>34</v>
      </c>
      <c r="E186" t="str">
        <f t="shared" si="9"/>
        <v>Ogden</v>
      </c>
      <c r="F186" t="str">
        <f t="shared" si="10"/>
        <v>Glacier</v>
      </c>
      <c r="G186" t="str">
        <f t="shared" si="11"/>
        <v>OGD</v>
      </c>
      <c r="H186" t="str">
        <f t="shared" si="12"/>
        <v>GRR</v>
      </c>
    </row>
    <row r="187" spans="1:8" x14ac:dyDescent="0.2">
      <c r="A187" t="s">
        <v>222</v>
      </c>
      <c r="B187" s="7">
        <v>45111.628472222226</v>
      </c>
      <c r="C187" t="s">
        <v>38</v>
      </c>
      <c r="D187" t="s">
        <v>28</v>
      </c>
      <c r="E187" t="str">
        <f t="shared" si="9"/>
        <v>Boise</v>
      </c>
      <c r="F187" t="str">
        <f t="shared" si="10"/>
        <v>Grand Junction</v>
      </c>
      <c r="G187" t="str">
        <f t="shared" si="11"/>
        <v>BOI</v>
      </c>
      <c r="H187" t="str">
        <f t="shared" si="12"/>
        <v>GJJ</v>
      </c>
    </row>
    <row r="188" spans="1:8" x14ac:dyDescent="0.2">
      <c r="A188" t="s">
        <v>223</v>
      </c>
      <c r="B188" s="7">
        <v>45111.628472222226</v>
      </c>
      <c r="C188" t="s">
        <v>31</v>
      </c>
      <c r="D188" t="s">
        <v>32</v>
      </c>
      <c r="E188" t="str">
        <f t="shared" si="9"/>
        <v>Missoula</v>
      </c>
      <c r="F188" t="str">
        <f t="shared" si="10"/>
        <v>Billings</v>
      </c>
      <c r="G188" t="str">
        <f t="shared" si="11"/>
        <v>MIS</v>
      </c>
      <c r="H188" t="str">
        <f t="shared" si="12"/>
        <v>BIL</v>
      </c>
    </row>
    <row r="189" spans="1:8" x14ac:dyDescent="0.2">
      <c r="A189" t="s">
        <v>224</v>
      </c>
      <c r="B189" s="7">
        <v>45111.732638888891</v>
      </c>
      <c r="C189" t="s">
        <v>41</v>
      </c>
      <c r="D189" t="s">
        <v>40</v>
      </c>
      <c r="E189" t="str">
        <f t="shared" si="9"/>
        <v>NoCo</v>
      </c>
      <c r="F189" t="str">
        <f t="shared" si="10"/>
        <v>Rocky Mountain</v>
      </c>
      <c r="G189" t="str">
        <f t="shared" si="11"/>
        <v>NoCo</v>
      </c>
      <c r="H189" t="str">
        <f t="shared" si="12"/>
        <v>RMV</v>
      </c>
    </row>
    <row r="190" spans="1:8" x14ac:dyDescent="0.2">
      <c r="A190" t="s">
        <v>225</v>
      </c>
      <c r="B190" s="7">
        <v>45111.75</v>
      </c>
      <c r="C190" t="s">
        <v>37</v>
      </c>
      <c r="D190" t="s">
        <v>35</v>
      </c>
      <c r="E190" t="str">
        <f t="shared" si="9"/>
        <v>Idaho Falls</v>
      </c>
      <c r="F190" t="str">
        <f t="shared" si="10"/>
        <v>Great Falls</v>
      </c>
      <c r="G190" t="str">
        <f t="shared" si="11"/>
        <v>IDF</v>
      </c>
      <c r="H190" t="str">
        <f t="shared" si="12"/>
        <v>GFV</v>
      </c>
    </row>
    <row r="191" spans="1:8" x14ac:dyDescent="0.2">
      <c r="A191" t="s">
        <v>226</v>
      </c>
      <c r="B191" s="7">
        <v>45111.75277777778</v>
      </c>
      <c r="C191" t="s">
        <v>29</v>
      </c>
      <c r="D191" t="s">
        <v>34</v>
      </c>
      <c r="E191" t="str">
        <f t="shared" si="9"/>
        <v>Ogden</v>
      </c>
      <c r="F191" t="str">
        <f t="shared" si="10"/>
        <v>Glacier</v>
      </c>
      <c r="G191" t="str">
        <f t="shared" si="11"/>
        <v>OGD</v>
      </c>
      <c r="H191" t="str">
        <f t="shared" si="12"/>
        <v>GRR</v>
      </c>
    </row>
    <row r="192" spans="1:8" x14ac:dyDescent="0.2">
      <c r="A192" t="s">
        <v>227</v>
      </c>
      <c r="B192" s="7">
        <v>45112.732638888891</v>
      </c>
      <c r="C192" t="s">
        <v>38</v>
      </c>
      <c r="D192" t="s">
        <v>28</v>
      </c>
      <c r="E192" t="str">
        <f t="shared" si="9"/>
        <v>Boise</v>
      </c>
      <c r="F192" t="str">
        <f t="shared" si="10"/>
        <v>Grand Junction</v>
      </c>
      <c r="G192" t="str">
        <f t="shared" si="11"/>
        <v>BOI</v>
      </c>
      <c r="H192" t="str">
        <f t="shared" si="12"/>
        <v>GJJ</v>
      </c>
    </row>
    <row r="193" spans="1:8" x14ac:dyDescent="0.2">
      <c r="A193" t="s">
        <v>228</v>
      </c>
      <c r="B193" s="7">
        <v>45112.732638888891</v>
      </c>
      <c r="C193" t="s">
        <v>31</v>
      </c>
      <c r="D193" t="s">
        <v>32</v>
      </c>
      <c r="E193" t="str">
        <f t="shared" si="9"/>
        <v>Missoula</v>
      </c>
      <c r="F193" t="str">
        <f t="shared" si="10"/>
        <v>Billings</v>
      </c>
      <c r="G193" t="str">
        <f t="shared" si="11"/>
        <v>MIS</v>
      </c>
      <c r="H193" t="str">
        <f t="shared" si="12"/>
        <v>BIL</v>
      </c>
    </row>
    <row r="194" spans="1:8" x14ac:dyDescent="0.2">
      <c r="A194" t="s">
        <v>229</v>
      </c>
      <c r="B194" s="7">
        <v>45112.732638888891</v>
      </c>
      <c r="C194" t="s">
        <v>41</v>
      </c>
      <c r="D194" t="s">
        <v>40</v>
      </c>
      <c r="E194" t="str">
        <f t="shared" ref="E194:E257" si="13">VLOOKUP(C194,$J$1:$L$10,2,FALSE)</f>
        <v>NoCo</v>
      </c>
      <c r="F194" t="str">
        <f t="shared" ref="F194:F257" si="14">VLOOKUP(D194,$J$1:$L$10,2,FALSE)</f>
        <v>Rocky Mountain</v>
      </c>
      <c r="G194" t="str">
        <f t="shared" ref="G194:G257" si="15">VLOOKUP(C194,$J$1:$L$10,3,FALSE)</f>
        <v>NoCo</v>
      </c>
      <c r="H194" t="str">
        <f t="shared" ref="H194:H257" si="16">VLOOKUP(D194,$J$1:$L$10,3,FALSE)</f>
        <v>RMV</v>
      </c>
    </row>
    <row r="195" spans="1:8" x14ac:dyDescent="0.2">
      <c r="A195" t="s">
        <v>230</v>
      </c>
      <c r="B195" s="7">
        <v>45112.75</v>
      </c>
      <c r="C195" t="s">
        <v>37</v>
      </c>
      <c r="D195" t="s">
        <v>35</v>
      </c>
      <c r="E195" t="str">
        <f t="shared" si="13"/>
        <v>Idaho Falls</v>
      </c>
      <c r="F195" t="str">
        <f t="shared" si="14"/>
        <v>Great Falls</v>
      </c>
      <c r="G195" t="str">
        <f t="shared" si="15"/>
        <v>IDF</v>
      </c>
      <c r="H195" t="str">
        <f t="shared" si="16"/>
        <v>GFV</v>
      </c>
    </row>
    <row r="196" spans="1:8" x14ac:dyDescent="0.2">
      <c r="A196" t="s">
        <v>231</v>
      </c>
      <c r="B196" s="7">
        <v>45112.753472222226</v>
      </c>
      <c r="C196" t="s">
        <v>29</v>
      </c>
      <c r="D196" t="s">
        <v>34</v>
      </c>
      <c r="E196" t="str">
        <f t="shared" si="13"/>
        <v>Ogden</v>
      </c>
      <c r="F196" t="str">
        <f t="shared" si="14"/>
        <v>Glacier</v>
      </c>
      <c r="G196" t="str">
        <f t="shared" si="15"/>
        <v>OGD</v>
      </c>
      <c r="H196" t="str">
        <f t="shared" si="16"/>
        <v>GRR</v>
      </c>
    </row>
    <row r="197" spans="1:8" x14ac:dyDescent="0.2">
      <c r="A197" t="s">
        <v>232</v>
      </c>
      <c r="B197" s="7">
        <v>45113.732638888891</v>
      </c>
      <c r="C197" t="s">
        <v>34</v>
      </c>
      <c r="D197" t="s">
        <v>32</v>
      </c>
      <c r="E197" t="str">
        <f t="shared" si="13"/>
        <v>Glacier</v>
      </c>
      <c r="F197" t="str">
        <f t="shared" si="14"/>
        <v>Billings</v>
      </c>
      <c r="G197" t="str">
        <f t="shared" si="15"/>
        <v>GRR</v>
      </c>
      <c r="H197" t="str">
        <f t="shared" si="16"/>
        <v>BIL</v>
      </c>
    </row>
    <row r="198" spans="1:8" x14ac:dyDescent="0.2">
      <c r="A198" t="s">
        <v>233</v>
      </c>
      <c r="B198" s="7">
        <v>45113.732638888891</v>
      </c>
      <c r="C198" t="s">
        <v>28</v>
      </c>
      <c r="D198" t="s">
        <v>40</v>
      </c>
      <c r="E198" t="str">
        <f t="shared" si="13"/>
        <v>Grand Junction</v>
      </c>
      <c r="F198" t="str">
        <f t="shared" si="14"/>
        <v>Rocky Mountain</v>
      </c>
      <c r="G198" t="str">
        <f t="shared" si="15"/>
        <v>GJJ</v>
      </c>
      <c r="H198" t="str">
        <f t="shared" si="16"/>
        <v>RMV</v>
      </c>
    </row>
    <row r="199" spans="1:8" x14ac:dyDescent="0.2">
      <c r="A199" t="s">
        <v>234</v>
      </c>
      <c r="B199" s="7">
        <v>45113.753472222226</v>
      </c>
      <c r="C199" t="s">
        <v>38</v>
      </c>
      <c r="D199" t="s">
        <v>41</v>
      </c>
      <c r="E199" t="str">
        <f t="shared" si="13"/>
        <v>Boise</v>
      </c>
      <c r="F199" t="str">
        <f t="shared" si="14"/>
        <v>NoCo</v>
      </c>
      <c r="G199" t="str">
        <f t="shared" si="15"/>
        <v>BOI</v>
      </c>
      <c r="H199" t="str">
        <f t="shared" si="16"/>
        <v>NoCo</v>
      </c>
    </row>
    <row r="200" spans="1:8" x14ac:dyDescent="0.2">
      <c r="A200" t="s">
        <v>235</v>
      </c>
      <c r="B200" s="7">
        <v>45113.753472222226</v>
      </c>
      <c r="C200" t="s">
        <v>35</v>
      </c>
      <c r="D200" t="s">
        <v>37</v>
      </c>
      <c r="E200" t="str">
        <f t="shared" si="13"/>
        <v>Great Falls</v>
      </c>
      <c r="F200" t="str">
        <f t="shared" si="14"/>
        <v>Idaho Falls</v>
      </c>
      <c r="G200" t="str">
        <f t="shared" si="15"/>
        <v>GFV</v>
      </c>
      <c r="H200" t="str">
        <f t="shared" si="16"/>
        <v>IDF</v>
      </c>
    </row>
    <row r="201" spans="1:8" x14ac:dyDescent="0.2">
      <c r="A201" t="s">
        <v>236</v>
      </c>
      <c r="B201" s="7">
        <v>45113.753472222226</v>
      </c>
      <c r="C201" t="s">
        <v>29</v>
      </c>
      <c r="D201" t="s">
        <v>31</v>
      </c>
      <c r="E201" t="str">
        <f t="shared" si="13"/>
        <v>Ogden</v>
      </c>
      <c r="F201" t="str">
        <f t="shared" si="14"/>
        <v>Missoula</v>
      </c>
      <c r="G201" t="str">
        <f t="shared" si="15"/>
        <v>OGD</v>
      </c>
      <c r="H201" t="str">
        <f t="shared" si="16"/>
        <v>MIS</v>
      </c>
    </row>
    <row r="202" spans="1:8" x14ac:dyDescent="0.2">
      <c r="A202" t="s">
        <v>237</v>
      </c>
      <c r="B202" s="7">
        <v>45114.732638888891</v>
      </c>
      <c r="C202" t="s">
        <v>34</v>
      </c>
      <c r="D202" t="s">
        <v>32</v>
      </c>
      <c r="E202" t="str">
        <f t="shared" si="13"/>
        <v>Glacier</v>
      </c>
      <c r="F202" t="str">
        <f t="shared" si="14"/>
        <v>Billings</v>
      </c>
      <c r="G202" t="str">
        <f t="shared" si="15"/>
        <v>GRR</v>
      </c>
      <c r="H202" t="str">
        <f t="shared" si="16"/>
        <v>BIL</v>
      </c>
    </row>
    <row r="203" spans="1:8" x14ac:dyDescent="0.2">
      <c r="A203" t="s">
        <v>238</v>
      </c>
      <c r="B203" s="7">
        <v>45114.732638888891</v>
      </c>
      <c r="C203" t="s">
        <v>28</v>
      </c>
      <c r="D203" t="s">
        <v>40</v>
      </c>
      <c r="E203" t="str">
        <f t="shared" si="13"/>
        <v>Grand Junction</v>
      </c>
      <c r="F203" t="str">
        <f t="shared" si="14"/>
        <v>Rocky Mountain</v>
      </c>
      <c r="G203" t="str">
        <f t="shared" si="15"/>
        <v>GJJ</v>
      </c>
      <c r="H203" t="str">
        <f t="shared" si="16"/>
        <v>RMV</v>
      </c>
    </row>
    <row r="204" spans="1:8" x14ac:dyDescent="0.2">
      <c r="A204" t="s">
        <v>239</v>
      </c>
      <c r="B204" s="7">
        <v>45114.753472222226</v>
      </c>
      <c r="C204" t="s">
        <v>38</v>
      </c>
      <c r="D204" t="s">
        <v>41</v>
      </c>
      <c r="E204" t="str">
        <f t="shared" si="13"/>
        <v>Boise</v>
      </c>
      <c r="F204" t="str">
        <f t="shared" si="14"/>
        <v>NoCo</v>
      </c>
      <c r="G204" t="str">
        <f t="shared" si="15"/>
        <v>BOI</v>
      </c>
      <c r="H204" t="str">
        <f t="shared" si="16"/>
        <v>NoCo</v>
      </c>
    </row>
    <row r="205" spans="1:8" x14ac:dyDescent="0.2">
      <c r="A205" t="s">
        <v>240</v>
      </c>
      <c r="B205" s="7">
        <v>45114.753472222226</v>
      </c>
      <c r="C205" t="s">
        <v>35</v>
      </c>
      <c r="D205" t="s">
        <v>37</v>
      </c>
      <c r="E205" t="str">
        <f t="shared" si="13"/>
        <v>Great Falls</v>
      </c>
      <c r="F205" t="str">
        <f t="shared" si="14"/>
        <v>Idaho Falls</v>
      </c>
      <c r="G205" t="str">
        <f t="shared" si="15"/>
        <v>GFV</v>
      </c>
      <c r="H205" t="str">
        <f t="shared" si="16"/>
        <v>IDF</v>
      </c>
    </row>
    <row r="206" spans="1:8" x14ac:dyDescent="0.2">
      <c r="A206" t="s">
        <v>241</v>
      </c>
      <c r="B206" s="7">
        <v>45114.753472222226</v>
      </c>
      <c r="C206" t="s">
        <v>29</v>
      </c>
      <c r="D206" t="s">
        <v>31</v>
      </c>
      <c r="E206" t="str">
        <f t="shared" si="13"/>
        <v>Ogden</v>
      </c>
      <c r="F206" t="str">
        <f t="shared" si="14"/>
        <v>Missoula</v>
      </c>
      <c r="G206" t="str">
        <f t="shared" si="15"/>
        <v>OGD</v>
      </c>
      <c r="H206" t="str">
        <f t="shared" si="16"/>
        <v>MIS</v>
      </c>
    </row>
    <row r="207" spans="1:8" x14ac:dyDescent="0.2">
      <c r="A207" t="s">
        <v>242</v>
      </c>
      <c r="B207" s="7">
        <v>45115.732638888891</v>
      </c>
      <c r="C207" t="s">
        <v>34</v>
      </c>
      <c r="D207" t="s">
        <v>32</v>
      </c>
      <c r="E207" t="str">
        <f t="shared" si="13"/>
        <v>Glacier</v>
      </c>
      <c r="F207" t="str">
        <f t="shared" si="14"/>
        <v>Billings</v>
      </c>
      <c r="G207" t="str">
        <f t="shared" si="15"/>
        <v>GRR</v>
      </c>
      <c r="H207" t="str">
        <f t="shared" si="16"/>
        <v>BIL</v>
      </c>
    </row>
    <row r="208" spans="1:8" x14ac:dyDescent="0.2">
      <c r="A208" t="s">
        <v>243</v>
      </c>
      <c r="B208" s="7">
        <v>45115.732638888891</v>
      </c>
      <c r="C208" t="s">
        <v>28</v>
      </c>
      <c r="D208" t="s">
        <v>40</v>
      </c>
      <c r="E208" t="str">
        <f t="shared" si="13"/>
        <v>Grand Junction</v>
      </c>
      <c r="F208" t="str">
        <f t="shared" si="14"/>
        <v>Rocky Mountain</v>
      </c>
      <c r="G208" t="str">
        <f t="shared" si="15"/>
        <v>GJJ</v>
      </c>
      <c r="H208" t="str">
        <f t="shared" si="16"/>
        <v>RMV</v>
      </c>
    </row>
    <row r="209" spans="1:8" x14ac:dyDescent="0.2">
      <c r="A209" t="s">
        <v>244</v>
      </c>
      <c r="B209" s="7">
        <v>45115.753472222226</v>
      </c>
      <c r="C209" t="s">
        <v>38</v>
      </c>
      <c r="D209" t="s">
        <v>41</v>
      </c>
      <c r="E209" t="str">
        <f t="shared" si="13"/>
        <v>Boise</v>
      </c>
      <c r="F209" t="str">
        <f t="shared" si="14"/>
        <v>NoCo</v>
      </c>
      <c r="G209" t="str">
        <f t="shared" si="15"/>
        <v>BOI</v>
      </c>
      <c r="H209" t="str">
        <f t="shared" si="16"/>
        <v>NoCo</v>
      </c>
    </row>
    <row r="210" spans="1:8" x14ac:dyDescent="0.2">
      <c r="A210" t="s">
        <v>245</v>
      </c>
      <c r="B210" s="7">
        <v>45115.753472222226</v>
      </c>
      <c r="C210" t="s">
        <v>35</v>
      </c>
      <c r="D210" t="s">
        <v>37</v>
      </c>
      <c r="E210" t="str">
        <f t="shared" si="13"/>
        <v>Great Falls</v>
      </c>
      <c r="F210" t="str">
        <f t="shared" si="14"/>
        <v>Idaho Falls</v>
      </c>
      <c r="G210" t="str">
        <f t="shared" si="15"/>
        <v>GFV</v>
      </c>
      <c r="H210" t="str">
        <f t="shared" si="16"/>
        <v>IDF</v>
      </c>
    </row>
    <row r="211" spans="1:8" x14ac:dyDescent="0.2">
      <c r="A211" t="s">
        <v>246</v>
      </c>
      <c r="B211" s="7">
        <v>45115.753472222226</v>
      </c>
      <c r="C211" t="s">
        <v>29</v>
      </c>
      <c r="D211" t="s">
        <v>31</v>
      </c>
      <c r="E211" t="str">
        <f t="shared" si="13"/>
        <v>Ogden</v>
      </c>
      <c r="F211" t="str">
        <f t="shared" si="14"/>
        <v>Missoula</v>
      </c>
      <c r="G211" t="str">
        <f t="shared" si="15"/>
        <v>OGD</v>
      </c>
      <c r="H211" t="str">
        <f t="shared" si="16"/>
        <v>MIS</v>
      </c>
    </row>
    <row r="212" spans="1:8" x14ac:dyDescent="0.2">
      <c r="A212" t="s">
        <v>247</v>
      </c>
      <c r="B212" s="7">
        <v>45117.729166666672</v>
      </c>
      <c r="C212" t="s">
        <v>40</v>
      </c>
      <c r="D212" t="s">
        <v>29</v>
      </c>
      <c r="E212" t="str">
        <f t="shared" si="13"/>
        <v>Rocky Mountain</v>
      </c>
      <c r="F212" t="str">
        <f t="shared" si="14"/>
        <v>Ogden</v>
      </c>
      <c r="G212" t="str">
        <f t="shared" si="15"/>
        <v>RMV</v>
      </c>
      <c r="H212" t="str">
        <f t="shared" si="16"/>
        <v>OGD</v>
      </c>
    </row>
    <row r="213" spans="1:8" x14ac:dyDescent="0.2">
      <c r="A213" t="s">
        <v>248</v>
      </c>
      <c r="B213" s="7">
        <v>45117.732638888891</v>
      </c>
      <c r="C213" t="s">
        <v>41</v>
      </c>
      <c r="D213" t="s">
        <v>28</v>
      </c>
      <c r="E213" t="str">
        <f t="shared" si="13"/>
        <v>NoCo</v>
      </c>
      <c r="F213" t="str">
        <f t="shared" si="14"/>
        <v>Grand Junction</v>
      </c>
      <c r="G213" t="str">
        <f t="shared" si="15"/>
        <v>NoCo</v>
      </c>
      <c r="H213" t="str">
        <f t="shared" si="16"/>
        <v>GJJ</v>
      </c>
    </row>
    <row r="214" spans="1:8" x14ac:dyDescent="0.2">
      <c r="A214" t="s">
        <v>249</v>
      </c>
      <c r="B214" s="7">
        <v>45117.75</v>
      </c>
      <c r="C214" t="s">
        <v>31</v>
      </c>
      <c r="D214" t="s">
        <v>35</v>
      </c>
      <c r="E214" t="str">
        <f t="shared" si="13"/>
        <v>Missoula</v>
      </c>
      <c r="F214" t="str">
        <f t="shared" si="14"/>
        <v>Great Falls</v>
      </c>
      <c r="G214" t="str">
        <f t="shared" si="15"/>
        <v>MIS</v>
      </c>
      <c r="H214" t="str">
        <f t="shared" si="16"/>
        <v>GFV</v>
      </c>
    </row>
    <row r="215" spans="1:8" x14ac:dyDescent="0.2">
      <c r="A215" t="s">
        <v>250</v>
      </c>
      <c r="B215" s="7">
        <v>45117.753472222226</v>
      </c>
      <c r="C215" t="s">
        <v>32</v>
      </c>
      <c r="D215" t="s">
        <v>38</v>
      </c>
      <c r="E215" t="str">
        <f t="shared" si="13"/>
        <v>Billings</v>
      </c>
      <c r="F215" t="str">
        <f t="shared" si="14"/>
        <v>Boise</v>
      </c>
      <c r="G215" t="str">
        <f t="shared" si="15"/>
        <v>BIL</v>
      </c>
      <c r="H215" t="str">
        <f t="shared" si="16"/>
        <v>BOI</v>
      </c>
    </row>
    <row r="216" spans="1:8" x14ac:dyDescent="0.2">
      <c r="A216" t="s">
        <v>251</v>
      </c>
      <c r="B216" s="7">
        <v>45117.753472222226</v>
      </c>
      <c r="C216" t="s">
        <v>37</v>
      </c>
      <c r="D216" t="s">
        <v>34</v>
      </c>
      <c r="E216" t="str">
        <f t="shared" si="13"/>
        <v>Idaho Falls</v>
      </c>
      <c r="F216" t="str">
        <f t="shared" si="14"/>
        <v>Glacier</v>
      </c>
      <c r="G216" t="str">
        <f t="shared" si="15"/>
        <v>IDF</v>
      </c>
      <c r="H216" t="str">
        <f t="shared" si="16"/>
        <v>GRR</v>
      </c>
    </row>
    <row r="217" spans="1:8" x14ac:dyDescent="0.2">
      <c r="A217" t="s">
        <v>252</v>
      </c>
      <c r="B217" s="7">
        <v>45118.729166666672</v>
      </c>
      <c r="C217" t="s">
        <v>40</v>
      </c>
      <c r="D217" t="s">
        <v>29</v>
      </c>
      <c r="E217" t="str">
        <f t="shared" si="13"/>
        <v>Rocky Mountain</v>
      </c>
      <c r="F217" t="str">
        <f t="shared" si="14"/>
        <v>Ogden</v>
      </c>
      <c r="G217" t="str">
        <f t="shared" si="15"/>
        <v>RMV</v>
      </c>
      <c r="H217" t="str">
        <f t="shared" si="16"/>
        <v>OGD</v>
      </c>
    </row>
    <row r="218" spans="1:8" x14ac:dyDescent="0.2">
      <c r="A218" t="s">
        <v>253</v>
      </c>
      <c r="B218" s="7">
        <v>45118.732638888891</v>
      </c>
      <c r="C218" t="s">
        <v>41</v>
      </c>
      <c r="D218" t="s">
        <v>28</v>
      </c>
      <c r="E218" t="str">
        <f t="shared" si="13"/>
        <v>NoCo</v>
      </c>
      <c r="F218" t="str">
        <f t="shared" si="14"/>
        <v>Grand Junction</v>
      </c>
      <c r="G218" t="str">
        <f t="shared" si="15"/>
        <v>NoCo</v>
      </c>
      <c r="H218" t="str">
        <f t="shared" si="16"/>
        <v>GJJ</v>
      </c>
    </row>
    <row r="219" spans="1:8" x14ac:dyDescent="0.2">
      <c r="A219" t="s">
        <v>254</v>
      </c>
      <c r="B219" s="7">
        <v>45118.75</v>
      </c>
      <c r="C219" t="s">
        <v>31</v>
      </c>
      <c r="D219" t="s">
        <v>35</v>
      </c>
      <c r="E219" t="str">
        <f t="shared" si="13"/>
        <v>Missoula</v>
      </c>
      <c r="F219" t="str">
        <f t="shared" si="14"/>
        <v>Great Falls</v>
      </c>
      <c r="G219" t="str">
        <f t="shared" si="15"/>
        <v>MIS</v>
      </c>
      <c r="H219" t="str">
        <f t="shared" si="16"/>
        <v>GFV</v>
      </c>
    </row>
    <row r="220" spans="1:8" x14ac:dyDescent="0.2">
      <c r="A220" t="s">
        <v>255</v>
      </c>
      <c r="B220" s="7">
        <v>45118.753472222226</v>
      </c>
      <c r="C220" t="s">
        <v>32</v>
      </c>
      <c r="D220" t="s">
        <v>38</v>
      </c>
      <c r="E220" t="str">
        <f t="shared" si="13"/>
        <v>Billings</v>
      </c>
      <c r="F220" t="str">
        <f t="shared" si="14"/>
        <v>Boise</v>
      </c>
      <c r="G220" t="str">
        <f t="shared" si="15"/>
        <v>BIL</v>
      </c>
      <c r="H220" t="str">
        <f t="shared" si="16"/>
        <v>BOI</v>
      </c>
    </row>
    <row r="221" spans="1:8" x14ac:dyDescent="0.2">
      <c r="A221" t="s">
        <v>256</v>
      </c>
      <c r="B221" s="7">
        <v>45118.753472222226</v>
      </c>
      <c r="C221" t="s">
        <v>37</v>
      </c>
      <c r="D221" t="s">
        <v>34</v>
      </c>
      <c r="E221" t="str">
        <f t="shared" si="13"/>
        <v>Idaho Falls</v>
      </c>
      <c r="F221" t="str">
        <f t="shared" si="14"/>
        <v>Glacier</v>
      </c>
      <c r="G221" t="str">
        <f t="shared" si="15"/>
        <v>IDF</v>
      </c>
      <c r="H221" t="str">
        <f t="shared" si="16"/>
        <v>GRR</v>
      </c>
    </row>
    <row r="222" spans="1:8" x14ac:dyDescent="0.2">
      <c r="A222" t="s">
        <v>257</v>
      </c>
      <c r="B222" s="7">
        <v>45119.729166666672</v>
      </c>
      <c r="C222" t="s">
        <v>40</v>
      </c>
      <c r="D222" t="s">
        <v>29</v>
      </c>
      <c r="E222" t="str">
        <f t="shared" si="13"/>
        <v>Rocky Mountain</v>
      </c>
      <c r="F222" t="str">
        <f t="shared" si="14"/>
        <v>Ogden</v>
      </c>
      <c r="G222" t="str">
        <f t="shared" si="15"/>
        <v>RMV</v>
      </c>
      <c r="H222" t="str">
        <f t="shared" si="16"/>
        <v>OGD</v>
      </c>
    </row>
    <row r="223" spans="1:8" x14ac:dyDescent="0.2">
      <c r="A223" t="s">
        <v>258</v>
      </c>
      <c r="B223" s="7">
        <v>45119.732638888891</v>
      </c>
      <c r="C223" t="s">
        <v>41</v>
      </c>
      <c r="D223" t="s">
        <v>28</v>
      </c>
      <c r="E223" t="str">
        <f t="shared" si="13"/>
        <v>NoCo</v>
      </c>
      <c r="F223" t="str">
        <f t="shared" si="14"/>
        <v>Grand Junction</v>
      </c>
      <c r="G223" t="str">
        <f t="shared" si="15"/>
        <v>NoCo</v>
      </c>
      <c r="H223" t="str">
        <f t="shared" si="16"/>
        <v>GJJ</v>
      </c>
    </row>
    <row r="224" spans="1:8" x14ac:dyDescent="0.2">
      <c r="A224" t="s">
        <v>259</v>
      </c>
      <c r="B224" s="7">
        <v>45119.75</v>
      </c>
      <c r="C224" t="s">
        <v>31</v>
      </c>
      <c r="D224" t="s">
        <v>35</v>
      </c>
      <c r="E224" t="str">
        <f t="shared" si="13"/>
        <v>Missoula</v>
      </c>
      <c r="F224" t="str">
        <f t="shared" si="14"/>
        <v>Great Falls</v>
      </c>
      <c r="G224" t="str">
        <f t="shared" si="15"/>
        <v>MIS</v>
      </c>
      <c r="H224" t="str">
        <f t="shared" si="16"/>
        <v>GFV</v>
      </c>
    </row>
    <row r="225" spans="1:8" x14ac:dyDescent="0.2">
      <c r="A225" t="s">
        <v>260</v>
      </c>
      <c r="B225" s="7">
        <v>45119.753472222226</v>
      </c>
      <c r="C225" t="s">
        <v>32</v>
      </c>
      <c r="D225" t="s">
        <v>38</v>
      </c>
      <c r="E225" t="str">
        <f t="shared" si="13"/>
        <v>Billings</v>
      </c>
      <c r="F225" t="str">
        <f t="shared" si="14"/>
        <v>Boise</v>
      </c>
      <c r="G225" t="str">
        <f t="shared" si="15"/>
        <v>BIL</v>
      </c>
      <c r="H225" t="str">
        <f t="shared" si="16"/>
        <v>BOI</v>
      </c>
    </row>
    <row r="226" spans="1:8" x14ac:dyDescent="0.2">
      <c r="A226" t="s">
        <v>261</v>
      </c>
      <c r="B226" s="7">
        <v>45119.753472222226</v>
      </c>
      <c r="C226" t="s">
        <v>37</v>
      </c>
      <c r="D226" t="s">
        <v>34</v>
      </c>
      <c r="E226" t="str">
        <f t="shared" si="13"/>
        <v>Idaho Falls</v>
      </c>
      <c r="F226" t="str">
        <f t="shared" si="14"/>
        <v>Glacier</v>
      </c>
      <c r="G226" t="str">
        <f t="shared" si="15"/>
        <v>IDF</v>
      </c>
      <c r="H226" t="str">
        <f t="shared" si="16"/>
        <v>GRR</v>
      </c>
    </row>
    <row r="227" spans="1:8" x14ac:dyDescent="0.2">
      <c r="A227" t="s">
        <v>262</v>
      </c>
      <c r="B227" s="7">
        <v>45120.729166666672</v>
      </c>
      <c r="C227" t="s">
        <v>40</v>
      </c>
      <c r="D227" t="s">
        <v>29</v>
      </c>
      <c r="E227" t="str">
        <f t="shared" si="13"/>
        <v>Rocky Mountain</v>
      </c>
      <c r="F227" t="str">
        <f t="shared" si="14"/>
        <v>Ogden</v>
      </c>
      <c r="G227" t="str">
        <f t="shared" si="15"/>
        <v>RMV</v>
      </c>
      <c r="H227" t="str">
        <f t="shared" si="16"/>
        <v>OGD</v>
      </c>
    </row>
    <row r="228" spans="1:8" x14ac:dyDescent="0.2">
      <c r="A228" t="s">
        <v>263</v>
      </c>
      <c r="B228" s="7">
        <v>45120.732638888891</v>
      </c>
      <c r="C228" t="s">
        <v>41</v>
      </c>
      <c r="D228" t="s">
        <v>28</v>
      </c>
      <c r="E228" t="str">
        <f t="shared" si="13"/>
        <v>NoCo</v>
      </c>
      <c r="F228" t="str">
        <f t="shared" si="14"/>
        <v>Grand Junction</v>
      </c>
      <c r="G228" t="str">
        <f t="shared" si="15"/>
        <v>NoCo</v>
      </c>
      <c r="H228" t="str">
        <f t="shared" si="16"/>
        <v>GJJ</v>
      </c>
    </row>
    <row r="229" spans="1:8" x14ac:dyDescent="0.2">
      <c r="A229" t="s">
        <v>264</v>
      </c>
      <c r="B229" s="7">
        <v>45120.75</v>
      </c>
      <c r="C229" t="s">
        <v>31</v>
      </c>
      <c r="D229" t="s">
        <v>35</v>
      </c>
      <c r="E229" t="str">
        <f t="shared" si="13"/>
        <v>Missoula</v>
      </c>
      <c r="F229" t="str">
        <f t="shared" si="14"/>
        <v>Great Falls</v>
      </c>
      <c r="G229" t="str">
        <f t="shared" si="15"/>
        <v>MIS</v>
      </c>
      <c r="H229" t="str">
        <f t="shared" si="16"/>
        <v>GFV</v>
      </c>
    </row>
    <row r="230" spans="1:8" x14ac:dyDescent="0.2">
      <c r="A230" t="s">
        <v>265</v>
      </c>
      <c r="B230" s="7">
        <v>45120.753472222226</v>
      </c>
      <c r="C230" t="s">
        <v>32</v>
      </c>
      <c r="D230" t="s">
        <v>38</v>
      </c>
      <c r="E230" t="str">
        <f t="shared" si="13"/>
        <v>Billings</v>
      </c>
      <c r="F230" t="str">
        <f t="shared" si="14"/>
        <v>Boise</v>
      </c>
      <c r="G230" t="str">
        <f t="shared" si="15"/>
        <v>BIL</v>
      </c>
      <c r="H230" t="str">
        <f t="shared" si="16"/>
        <v>BOI</v>
      </c>
    </row>
    <row r="231" spans="1:8" x14ac:dyDescent="0.2">
      <c r="A231" t="s">
        <v>266</v>
      </c>
      <c r="B231" s="7">
        <v>45120.753472222226</v>
      </c>
      <c r="C231" t="s">
        <v>37</v>
      </c>
      <c r="D231" t="s">
        <v>34</v>
      </c>
      <c r="E231" t="str">
        <f t="shared" si="13"/>
        <v>Idaho Falls</v>
      </c>
      <c r="F231" t="str">
        <f t="shared" si="14"/>
        <v>Glacier</v>
      </c>
      <c r="G231" t="str">
        <f t="shared" si="15"/>
        <v>IDF</v>
      </c>
      <c r="H231" t="str">
        <f t="shared" si="16"/>
        <v>GRR</v>
      </c>
    </row>
    <row r="232" spans="1:8" x14ac:dyDescent="0.2">
      <c r="A232" t="s">
        <v>267</v>
      </c>
      <c r="B232" s="7">
        <v>45121.729166666672</v>
      </c>
      <c r="C232" t="s">
        <v>40</v>
      </c>
      <c r="D232" t="s">
        <v>29</v>
      </c>
      <c r="E232" t="str">
        <f t="shared" si="13"/>
        <v>Rocky Mountain</v>
      </c>
      <c r="F232" t="str">
        <f t="shared" si="14"/>
        <v>Ogden</v>
      </c>
      <c r="G232" t="str">
        <f t="shared" si="15"/>
        <v>RMV</v>
      </c>
      <c r="H232" t="str">
        <f t="shared" si="16"/>
        <v>OGD</v>
      </c>
    </row>
    <row r="233" spans="1:8" x14ac:dyDescent="0.2">
      <c r="A233" t="s">
        <v>268</v>
      </c>
      <c r="B233" s="7">
        <v>45121.732638888891</v>
      </c>
      <c r="C233" t="s">
        <v>41</v>
      </c>
      <c r="D233" t="s">
        <v>28</v>
      </c>
      <c r="E233" t="str">
        <f t="shared" si="13"/>
        <v>NoCo</v>
      </c>
      <c r="F233" t="str">
        <f t="shared" si="14"/>
        <v>Grand Junction</v>
      </c>
      <c r="G233" t="str">
        <f t="shared" si="15"/>
        <v>NoCo</v>
      </c>
      <c r="H233" t="str">
        <f t="shared" si="16"/>
        <v>GJJ</v>
      </c>
    </row>
    <row r="234" spans="1:8" x14ac:dyDescent="0.2">
      <c r="A234" t="s">
        <v>269</v>
      </c>
      <c r="B234" s="7">
        <v>45121.75</v>
      </c>
      <c r="C234" t="s">
        <v>31</v>
      </c>
      <c r="D234" t="s">
        <v>35</v>
      </c>
      <c r="E234" t="str">
        <f t="shared" si="13"/>
        <v>Missoula</v>
      </c>
      <c r="F234" t="str">
        <f t="shared" si="14"/>
        <v>Great Falls</v>
      </c>
      <c r="G234" t="str">
        <f t="shared" si="15"/>
        <v>MIS</v>
      </c>
      <c r="H234" t="str">
        <f t="shared" si="16"/>
        <v>GFV</v>
      </c>
    </row>
    <row r="235" spans="1:8" x14ac:dyDescent="0.2">
      <c r="A235" t="s">
        <v>270</v>
      </c>
      <c r="B235" s="7">
        <v>45121.753472222226</v>
      </c>
      <c r="C235" t="s">
        <v>32</v>
      </c>
      <c r="D235" t="s">
        <v>38</v>
      </c>
      <c r="E235" t="str">
        <f t="shared" si="13"/>
        <v>Billings</v>
      </c>
      <c r="F235" t="str">
        <f t="shared" si="14"/>
        <v>Boise</v>
      </c>
      <c r="G235" t="str">
        <f t="shared" si="15"/>
        <v>BIL</v>
      </c>
      <c r="H235" t="str">
        <f t="shared" si="16"/>
        <v>BOI</v>
      </c>
    </row>
    <row r="236" spans="1:8" x14ac:dyDescent="0.2">
      <c r="A236" t="s">
        <v>271</v>
      </c>
      <c r="B236" s="7">
        <v>45121.753472222226</v>
      </c>
      <c r="C236" t="s">
        <v>37</v>
      </c>
      <c r="D236" t="s">
        <v>34</v>
      </c>
      <c r="E236" t="str">
        <f t="shared" si="13"/>
        <v>Idaho Falls</v>
      </c>
      <c r="F236" t="str">
        <f t="shared" si="14"/>
        <v>Glacier</v>
      </c>
      <c r="G236" t="str">
        <f t="shared" si="15"/>
        <v>IDF</v>
      </c>
      <c r="H236" t="str">
        <f t="shared" si="16"/>
        <v>GRR</v>
      </c>
    </row>
    <row r="237" spans="1:8" x14ac:dyDescent="0.2">
      <c r="A237" t="s">
        <v>272</v>
      </c>
      <c r="B237" s="7">
        <v>45122.729166666672</v>
      </c>
      <c r="C237" t="s">
        <v>40</v>
      </c>
      <c r="D237" t="s">
        <v>29</v>
      </c>
      <c r="E237" t="str">
        <f t="shared" si="13"/>
        <v>Rocky Mountain</v>
      </c>
      <c r="F237" t="str">
        <f t="shared" si="14"/>
        <v>Ogden</v>
      </c>
      <c r="G237" t="str">
        <f t="shared" si="15"/>
        <v>RMV</v>
      </c>
      <c r="H237" t="str">
        <f t="shared" si="16"/>
        <v>OGD</v>
      </c>
    </row>
    <row r="238" spans="1:8" x14ac:dyDescent="0.2">
      <c r="A238" t="s">
        <v>273</v>
      </c>
      <c r="B238" s="7">
        <v>45122.732638888891</v>
      </c>
      <c r="C238" t="s">
        <v>41</v>
      </c>
      <c r="D238" t="s">
        <v>28</v>
      </c>
      <c r="E238" t="str">
        <f t="shared" si="13"/>
        <v>NoCo</v>
      </c>
      <c r="F238" t="str">
        <f t="shared" si="14"/>
        <v>Grand Junction</v>
      </c>
      <c r="G238" t="str">
        <f t="shared" si="15"/>
        <v>NoCo</v>
      </c>
      <c r="H238" t="str">
        <f t="shared" si="16"/>
        <v>GJJ</v>
      </c>
    </row>
    <row r="239" spans="1:8" x14ac:dyDescent="0.2">
      <c r="A239" t="s">
        <v>274</v>
      </c>
      <c r="B239" s="7">
        <v>45122.75</v>
      </c>
      <c r="C239" t="s">
        <v>31</v>
      </c>
      <c r="D239" t="s">
        <v>35</v>
      </c>
      <c r="E239" t="str">
        <f t="shared" si="13"/>
        <v>Missoula</v>
      </c>
      <c r="F239" t="str">
        <f t="shared" si="14"/>
        <v>Great Falls</v>
      </c>
      <c r="G239" t="str">
        <f t="shared" si="15"/>
        <v>MIS</v>
      </c>
      <c r="H239" t="str">
        <f t="shared" si="16"/>
        <v>GFV</v>
      </c>
    </row>
    <row r="240" spans="1:8" x14ac:dyDescent="0.2">
      <c r="A240" t="s">
        <v>275</v>
      </c>
      <c r="B240" s="7">
        <v>45122.753472222226</v>
      </c>
      <c r="C240" t="s">
        <v>32</v>
      </c>
      <c r="D240" t="s">
        <v>38</v>
      </c>
      <c r="E240" t="str">
        <f t="shared" si="13"/>
        <v>Billings</v>
      </c>
      <c r="F240" t="str">
        <f t="shared" si="14"/>
        <v>Boise</v>
      </c>
      <c r="G240" t="str">
        <f t="shared" si="15"/>
        <v>BIL</v>
      </c>
      <c r="H240" t="str">
        <f t="shared" si="16"/>
        <v>BOI</v>
      </c>
    </row>
    <row r="241" spans="1:8" x14ac:dyDescent="0.2">
      <c r="A241" t="s">
        <v>276</v>
      </c>
      <c r="B241" s="7">
        <v>45122.753472222226</v>
      </c>
      <c r="C241" t="s">
        <v>37</v>
      </c>
      <c r="D241" t="s">
        <v>34</v>
      </c>
      <c r="E241" t="str">
        <f t="shared" si="13"/>
        <v>Idaho Falls</v>
      </c>
      <c r="F241" t="str">
        <f t="shared" si="14"/>
        <v>Glacier</v>
      </c>
      <c r="G241" t="str">
        <f t="shared" si="15"/>
        <v>IDF</v>
      </c>
      <c r="H241" t="str">
        <f t="shared" si="16"/>
        <v>GRR</v>
      </c>
    </row>
    <row r="242" spans="1:8" x14ac:dyDescent="0.2">
      <c r="A242" t="s">
        <v>277</v>
      </c>
      <c r="B242" s="7">
        <v>45125.753472222226</v>
      </c>
      <c r="C242" t="s">
        <v>32</v>
      </c>
      <c r="D242" t="s">
        <v>34</v>
      </c>
      <c r="E242" t="str">
        <f t="shared" si="13"/>
        <v>Billings</v>
      </c>
      <c r="F242" t="str">
        <f t="shared" si="14"/>
        <v>Glacier</v>
      </c>
      <c r="G242" t="str">
        <f t="shared" si="15"/>
        <v>BIL</v>
      </c>
      <c r="H242" t="str">
        <f t="shared" si="16"/>
        <v>GRR</v>
      </c>
    </row>
    <row r="243" spans="1:8" x14ac:dyDescent="0.2">
      <c r="A243" t="s">
        <v>278</v>
      </c>
      <c r="B243" s="7">
        <v>45125.753472222226</v>
      </c>
      <c r="C243" t="s">
        <v>28</v>
      </c>
      <c r="D243" t="s">
        <v>37</v>
      </c>
      <c r="E243" t="str">
        <f t="shared" si="13"/>
        <v>Grand Junction</v>
      </c>
      <c r="F243" t="str">
        <f t="shared" si="14"/>
        <v>Idaho Falls</v>
      </c>
      <c r="G243" t="str">
        <f t="shared" si="15"/>
        <v>GJJ</v>
      </c>
      <c r="H243" t="str">
        <f t="shared" si="16"/>
        <v>IDF</v>
      </c>
    </row>
    <row r="244" spans="1:8" x14ac:dyDescent="0.2">
      <c r="A244" t="s">
        <v>279</v>
      </c>
      <c r="B244" s="7">
        <v>45125.753472222226</v>
      </c>
      <c r="C244" t="s">
        <v>35</v>
      </c>
      <c r="D244" t="s">
        <v>38</v>
      </c>
      <c r="E244" t="str">
        <f t="shared" si="13"/>
        <v>Great Falls</v>
      </c>
      <c r="F244" t="str">
        <f t="shared" si="14"/>
        <v>Boise</v>
      </c>
      <c r="G244" t="str">
        <f t="shared" si="15"/>
        <v>GFV</v>
      </c>
      <c r="H244" t="str">
        <f t="shared" si="16"/>
        <v>BOI</v>
      </c>
    </row>
    <row r="245" spans="1:8" x14ac:dyDescent="0.2">
      <c r="A245" t="s">
        <v>280</v>
      </c>
      <c r="B245" s="7">
        <v>45125.753472222226</v>
      </c>
      <c r="C245" t="s">
        <v>29</v>
      </c>
      <c r="D245" t="s">
        <v>31</v>
      </c>
      <c r="E245" t="str">
        <f t="shared" si="13"/>
        <v>Ogden</v>
      </c>
      <c r="F245" t="str">
        <f t="shared" si="14"/>
        <v>Missoula</v>
      </c>
      <c r="G245" t="str">
        <f t="shared" si="15"/>
        <v>OGD</v>
      </c>
      <c r="H245" t="str">
        <f t="shared" si="16"/>
        <v>MIS</v>
      </c>
    </row>
    <row r="246" spans="1:8" x14ac:dyDescent="0.2">
      <c r="A246" t="s">
        <v>281</v>
      </c>
      <c r="B246" s="7">
        <v>45125.753472222226</v>
      </c>
      <c r="C246" t="s">
        <v>40</v>
      </c>
      <c r="D246" t="s">
        <v>41</v>
      </c>
      <c r="E246" t="str">
        <f t="shared" si="13"/>
        <v>Rocky Mountain</v>
      </c>
      <c r="F246" t="str">
        <f t="shared" si="14"/>
        <v>NoCo</v>
      </c>
      <c r="G246" t="str">
        <f t="shared" si="15"/>
        <v>RMV</v>
      </c>
      <c r="H246" t="str">
        <f t="shared" si="16"/>
        <v>NoCo</v>
      </c>
    </row>
    <row r="247" spans="1:8" x14ac:dyDescent="0.2">
      <c r="A247" t="s">
        <v>282</v>
      </c>
      <c r="B247" s="7">
        <v>45126.753472222226</v>
      </c>
      <c r="C247" t="s">
        <v>32</v>
      </c>
      <c r="D247" t="s">
        <v>34</v>
      </c>
      <c r="E247" t="str">
        <f t="shared" si="13"/>
        <v>Billings</v>
      </c>
      <c r="F247" t="str">
        <f t="shared" si="14"/>
        <v>Glacier</v>
      </c>
      <c r="G247" t="str">
        <f t="shared" si="15"/>
        <v>BIL</v>
      </c>
      <c r="H247" t="str">
        <f t="shared" si="16"/>
        <v>GRR</v>
      </c>
    </row>
    <row r="248" spans="1:8" x14ac:dyDescent="0.2">
      <c r="A248" t="s">
        <v>283</v>
      </c>
      <c r="B248" s="7">
        <v>45126.753472222226</v>
      </c>
      <c r="C248" t="s">
        <v>28</v>
      </c>
      <c r="D248" t="s">
        <v>37</v>
      </c>
      <c r="E248" t="str">
        <f t="shared" si="13"/>
        <v>Grand Junction</v>
      </c>
      <c r="F248" t="str">
        <f t="shared" si="14"/>
        <v>Idaho Falls</v>
      </c>
      <c r="G248" t="str">
        <f t="shared" si="15"/>
        <v>GJJ</v>
      </c>
      <c r="H248" t="str">
        <f t="shared" si="16"/>
        <v>IDF</v>
      </c>
    </row>
    <row r="249" spans="1:8" x14ac:dyDescent="0.2">
      <c r="A249" t="s">
        <v>284</v>
      </c>
      <c r="B249" s="7">
        <v>45126.753472222226</v>
      </c>
      <c r="C249" t="s">
        <v>35</v>
      </c>
      <c r="D249" t="s">
        <v>38</v>
      </c>
      <c r="E249" t="str">
        <f t="shared" si="13"/>
        <v>Great Falls</v>
      </c>
      <c r="F249" t="str">
        <f t="shared" si="14"/>
        <v>Boise</v>
      </c>
      <c r="G249" t="str">
        <f t="shared" si="15"/>
        <v>GFV</v>
      </c>
      <c r="H249" t="str">
        <f t="shared" si="16"/>
        <v>BOI</v>
      </c>
    </row>
    <row r="250" spans="1:8" x14ac:dyDescent="0.2">
      <c r="A250" t="s">
        <v>285</v>
      </c>
      <c r="B250" s="7">
        <v>45126.753472222226</v>
      </c>
      <c r="C250" t="s">
        <v>29</v>
      </c>
      <c r="D250" t="s">
        <v>31</v>
      </c>
      <c r="E250" t="str">
        <f t="shared" si="13"/>
        <v>Ogden</v>
      </c>
      <c r="F250" t="str">
        <f t="shared" si="14"/>
        <v>Missoula</v>
      </c>
      <c r="G250" t="str">
        <f t="shared" si="15"/>
        <v>OGD</v>
      </c>
      <c r="H250" t="str">
        <f t="shared" si="16"/>
        <v>MIS</v>
      </c>
    </row>
    <row r="251" spans="1:8" x14ac:dyDescent="0.2">
      <c r="A251" t="s">
        <v>286</v>
      </c>
      <c r="B251" s="7">
        <v>45126.753472222226</v>
      </c>
      <c r="C251" t="s">
        <v>40</v>
      </c>
      <c r="D251" t="s">
        <v>41</v>
      </c>
      <c r="E251" t="str">
        <f t="shared" si="13"/>
        <v>Rocky Mountain</v>
      </c>
      <c r="F251" t="str">
        <f t="shared" si="14"/>
        <v>NoCo</v>
      </c>
      <c r="G251" t="str">
        <f t="shared" si="15"/>
        <v>RMV</v>
      </c>
      <c r="H251" t="str">
        <f t="shared" si="16"/>
        <v>NoCo</v>
      </c>
    </row>
    <row r="252" spans="1:8" x14ac:dyDescent="0.2">
      <c r="A252" t="s">
        <v>287</v>
      </c>
      <c r="B252" s="7">
        <v>45127.732638888891</v>
      </c>
      <c r="C252" t="s">
        <v>41</v>
      </c>
      <c r="D252" t="s">
        <v>40</v>
      </c>
      <c r="E252" t="str">
        <f t="shared" si="13"/>
        <v>NoCo</v>
      </c>
      <c r="F252" t="str">
        <f t="shared" si="14"/>
        <v>Rocky Mountain</v>
      </c>
      <c r="G252" t="str">
        <f t="shared" si="15"/>
        <v>NoCo</v>
      </c>
      <c r="H252" t="str">
        <f t="shared" si="16"/>
        <v>RMV</v>
      </c>
    </row>
    <row r="253" spans="1:8" x14ac:dyDescent="0.2">
      <c r="A253" t="s">
        <v>288</v>
      </c>
      <c r="B253" s="7">
        <v>45127.753472222226</v>
      </c>
      <c r="C253" t="s">
        <v>32</v>
      </c>
      <c r="D253" t="s">
        <v>34</v>
      </c>
      <c r="E253" t="str">
        <f t="shared" si="13"/>
        <v>Billings</v>
      </c>
      <c r="F253" t="str">
        <f t="shared" si="14"/>
        <v>Glacier</v>
      </c>
      <c r="G253" t="str">
        <f t="shared" si="15"/>
        <v>BIL</v>
      </c>
      <c r="H253" t="str">
        <f t="shared" si="16"/>
        <v>GRR</v>
      </c>
    </row>
    <row r="254" spans="1:8" x14ac:dyDescent="0.2">
      <c r="A254" t="s">
        <v>289</v>
      </c>
      <c r="B254" s="7">
        <v>45127.753472222226</v>
      </c>
      <c r="C254" t="s">
        <v>28</v>
      </c>
      <c r="D254" t="s">
        <v>37</v>
      </c>
      <c r="E254" t="str">
        <f t="shared" si="13"/>
        <v>Grand Junction</v>
      </c>
      <c r="F254" t="str">
        <f t="shared" si="14"/>
        <v>Idaho Falls</v>
      </c>
      <c r="G254" t="str">
        <f t="shared" si="15"/>
        <v>GJJ</v>
      </c>
      <c r="H254" t="str">
        <f t="shared" si="16"/>
        <v>IDF</v>
      </c>
    </row>
    <row r="255" spans="1:8" x14ac:dyDescent="0.2">
      <c r="A255" t="s">
        <v>290</v>
      </c>
      <c r="B255" s="7">
        <v>45127.753472222226</v>
      </c>
      <c r="C255" t="s">
        <v>35</v>
      </c>
      <c r="D255" t="s">
        <v>38</v>
      </c>
      <c r="E255" t="str">
        <f t="shared" si="13"/>
        <v>Great Falls</v>
      </c>
      <c r="F255" t="str">
        <f t="shared" si="14"/>
        <v>Boise</v>
      </c>
      <c r="G255" t="str">
        <f t="shared" si="15"/>
        <v>GFV</v>
      </c>
      <c r="H255" t="str">
        <f t="shared" si="16"/>
        <v>BOI</v>
      </c>
    </row>
    <row r="256" spans="1:8" x14ac:dyDescent="0.2">
      <c r="A256" t="s">
        <v>291</v>
      </c>
      <c r="B256" s="7">
        <v>45127.753472222226</v>
      </c>
      <c r="C256" t="s">
        <v>29</v>
      </c>
      <c r="D256" t="s">
        <v>31</v>
      </c>
      <c r="E256" t="str">
        <f t="shared" si="13"/>
        <v>Ogden</v>
      </c>
      <c r="F256" t="str">
        <f t="shared" si="14"/>
        <v>Missoula</v>
      </c>
      <c r="G256" t="str">
        <f t="shared" si="15"/>
        <v>OGD</v>
      </c>
      <c r="H256" t="str">
        <f t="shared" si="16"/>
        <v>MIS</v>
      </c>
    </row>
    <row r="257" spans="1:8" x14ac:dyDescent="0.2">
      <c r="A257" t="s">
        <v>292</v>
      </c>
      <c r="B257" s="7">
        <v>45128.732638888891</v>
      </c>
      <c r="C257" t="s">
        <v>34</v>
      </c>
      <c r="D257" t="s">
        <v>32</v>
      </c>
      <c r="E257" t="str">
        <f t="shared" si="13"/>
        <v>Glacier</v>
      </c>
      <c r="F257" t="str">
        <f t="shared" si="14"/>
        <v>Billings</v>
      </c>
      <c r="G257" t="str">
        <f t="shared" si="15"/>
        <v>GRR</v>
      </c>
      <c r="H257" t="str">
        <f t="shared" si="16"/>
        <v>BIL</v>
      </c>
    </row>
    <row r="258" spans="1:8" x14ac:dyDescent="0.2">
      <c r="A258" t="s">
        <v>293</v>
      </c>
      <c r="B258" s="7">
        <v>45128.732638888891</v>
      </c>
      <c r="C258" t="s">
        <v>41</v>
      </c>
      <c r="D258" t="s">
        <v>40</v>
      </c>
      <c r="E258" t="str">
        <f t="shared" ref="E258:E321" si="17">VLOOKUP(C258,$J$1:$L$10,2,FALSE)</f>
        <v>NoCo</v>
      </c>
      <c r="F258" t="str">
        <f t="shared" ref="F258:F321" si="18">VLOOKUP(D258,$J$1:$L$10,2,FALSE)</f>
        <v>Rocky Mountain</v>
      </c>
      <c r="G258" t="str">
        <f t="shared" ref="G258:G321" si="19">VLOOKUP(C258,$J$1:$L$10,3,FALSE)</f>
        <v>NoCo</v>
      </c>
      <c r="H258" t="str">
        <f t="shared" ref="H258:H321" si="20">VLOOKUP(D258,$J$1:$L$10,3,FALSE)</f>
        <v>RMV</v>
      </c>
    </row>
    <row r="259" spans="1:8" x14ac:dyDescent="0.2">
      <c r="A259" t="s">
        <v>294</v>
      </c>
      <c r="B259" s="7">
        <v>45128.753472222226</v>
      </c>
      <c r="C259" t="s">
        <v>28</v>
      </c>
      <c r="D259" t="s">
        <v>37</v>
      </c>
      <c r="E259" t="str">
        <f t="shared" si="17"/>
        <v>Grand Junction</v>
      </c>
      <c r="F259" t="str">
        <f t="shared" si="18"/>
        <v>Idaho Falls</v>
      </c>
      <c r="G259" t="str">
        <f t="shared" si="19"/>
        <v>GJJ</v>
      </c>
      <c r="H259" t="str">
        <f t="shared" si="20"/>
        <v>IDF</v>
      </c>
    </row>
    <row r="260" spans="1:8" x14ac:dyDescent="0.2">
      <c r="A260" t="s">
        <v>295</v>
      </c>
      <c r="B260" s="7">
        <v>45128.753472222226</v>
      </c>
      <c r="C260" t="s">
        <v>35</v>
      </c>
      <c r="D260" t="s">
        <v>38</v>
      </c>
      <c r="E260" t="str">
        <f t="shared" si="17"/>
        <v>Great Falls</v>
      </c>
      <c r="F260" t="str">
        <f t="shared" si="18"/>
        <v>Boise</v>
      </c>
      <c r="G260" t="str">
        <f t="shared" si="19"/>
        <v>GFV</v>
      </c>
      <c r="H260" t="str">
        <f t="shared" si="20"/>
        <v>BOI</v>
      </c>
    </row>
    <row r="261" spans="1:8" x14ac:dyDescent="0.2">
      <c r="A261" t="s">
        <v>296</v>
      </c>
      <c r="B261" s="7">
        <v>45128.753472222226</v>
      </c>
      <c r="C261" t="s">
        <v>29</v>
      </c>
      <c r="D261" t="s">
        <v>31</v>
      </c>
      <c r="E261" t="str">
        <f t="shared" si="17"/>
        <v>Ogden</v>
      </c>
      <c r="F261" t="str">
        <f t="shared" si="18"/>
        <v>Missoula</v>
      </c>
      <c r="G261" t="str">
        <f t="shared" si="19"/>
        <v>OGD</v>
      </c>
      <c r="H261" t="str">
        <f t="shared" si="20"/>
        <v>MIS</v>
      </c>
    </row>
    <row r="262" spans="1:8" x14ac:dyDescent="0.2">
      <c r="A262" t="s">
        <v>297</v>
      </c>
      <c r="B262" s="7">
        <v>45129.732638888891</v>
      </c>
      <c r="C262" t="s">
        <v>34</v>
      </c>
      <c r="D262" t="s">
        <v>32</v>
      </c>
      <c r="E262" t="str">
        <f t="shared" si="17"/>
        <v>Glacier</v>
      </c>
      <c r="F262" t="str">
        <f t="shared" si="18"/>
        <v>Billings</v>
      </c>
      <c r="G262" t="str">
        <f t="shared" si="19"/>
        <v>GRR</v>
      </c>
      <c r="H262" t="str">
        <f t="shared" si="20"/>
        <v>BIL</v>
      </c>
    </row>
    <row r="263" spans="1:8" x14ac:dyDescent="0.2">
      <c r="A263" t="s">
        <v>298</v>
      </c>
      <c r="B263" s="7">
        <v>45129.732638888891</v>
      </c>
      <c r="C263" t="s">
        <v>41</v>
      </c>
      <c r="D263" t="s">
        <v>40</v>
      </c>
      <c r="E263" t="str">
        <f t="shared" si="17"/>
        <v>NoCo</v>
      </c>
      <c r="F263" t="str">
        <f t="shared" si="18"/>
        <v>Rocky Mountain</v>
      </c>
      <c r="G263" t="str">
        <f t="shared" si="19"/>
        <v>NoCo</v>
      </c>
      <c r="H263" t="str">
        <f t="shared" si="20"/>
        <v>RMV</v>
      </c>
    </row>
    <row r="264" spans="1:8" x14ac:dyDescent="0.2">
      <c r="A264" t="s">
        <v>299</v>
      </c>
      <c r="B264" s="7">
        <v>45129.753472222226</v>
      </c>
      <c r="C264" t="s">
        <v>28</v>
      </c>
      <c r="D264" t="s">
        <v>37</v>
      </c>
      <c r="E264" t="str">
        <f t="shared" si="17"/>
        <v>Grand Junction</v>
      </c>
      <c r="F264" t="str">
        <f t="shared" si="18"/>
        <v>Idaho Falls</v>
      </c>
      <c r="G264" t="str">
        <f t="shared" si="19"/>
        <v>GJJ</v>
      </c>
      <c r="H264" t="str">
        <f t="shared" si="20"/>
        <v>IDF</v>
      </c>
    </row>
    <row r="265" spans="1:8" x14ac:dyDescent="0.2">
      <c r="A265" t="s">
        <v>300</v>
      </c>
      <c r="B265" s="7">
        <v>45129.753472222226</v>
      </c>
      <c r="C265" t="s">
        <v>35</v>
      </c>
      <c r="D265" t="s">
        <v>38</v>
      </c>
      <c r="E265" t="str">
        <f t="shared" si="17"/>
        <v>Great Falls</v>
      </c>
      <c r="F265" t="str">
        <f t="shared" si="18"/>
        <v>Boise</v>
      </c>
      <c r="G265" t="str">
        <f t="shared" si="19"/>
        <v>GFV</v>
      </c>
      <c r="H265" t="str">
        <f t="shared" si="20"/>
        <v>BOI</v>
      </c>
    </row>
    <row r="266" spans="1:8" x14ac:dyDescent="0.2">
      <c r="A266" t="s">
        <v>301</v>
      </c>
      <c r="B266" s="7">
        <v>45129.753472222226</v>
      </c>
      <c r="C266" t="s">
        <v>29</v>
      </c>
      <c r="D266" t="s">
        <v>31</v>
      </c>
      <c r="E266" t="str">
        <f t="shared" si="17"/>
        <v>Ogden</v>
      </c>
      <c r="F266" t="str">
        <f t="shared" si="18"/>
        <v>Missoula</v>
      </c>
      <c r="G266" t="str">
        <f t="shared" si="19"/>
        <v>OGD</v>
      </c>
      <c r="H266" t="str">
        <f t="shared" si="20"/>
        <v>MIS</v>
      </c>
    </row>
    <row r="267" spans="1:8" x14ac:dyDescent="0.2">
      <c r="A267" t="s">
        <v>302</v>
      </c>
      <c r="B267" s="7">
        <v>45130.503472222226</v>
      </c>
      <c r="C267" t="s">
        <v>34</v>
      </c>
      <c r="D267" t="s">
        <v>32</v>
      </c>
      <c r="E267" t="str">
        <f t="shared" si="17"/>
        <v>Glacier</v>
      </c>
      <c r="F267" t="str">
        <f t="shared" si="18"/>
        <v>Billings</v>
      </c>
      <c r="G267" t="str">
        <f t="shared" si="19"/>
        <v>GRR</v>
      </c>
      <c r="H267" t="str">
        <f t="shared" si="20"/>
        <v>BIL</v>
      </c>
    </row>
    <row r="268" spans="1:8" x14ac:dyDescent="0.2">
      <c r="A268" t="s">
        <v>303</v>
      </c>
      <c r="B268" s="7">
        <v>45130.503472222226</v>
      </c>
      <c r="C268" t="s">
        <v>35</v>
      </c>
      <c r="D268" t="s">
        <v>38</v>
      </c>
      <c r="E268" t="str">
        <f t="shared" si="17"/>
        <v>Great Falls</v>
      </c>
      <c r="F268" t="str">
        <f t="shared" si="18"/>
        <v>Boise</v>
      </c>
      <c r="G268" t="str">
        <f t="shared" si="19"/>
        <v>GFV</v>
      </c>
      <c r="H268" t="str">
        <f t="shared" si="20"/>
        <v>BOI</v>
      </c>
    </row>
    <row r="269" spans="1:8" x14ac:dyDescent="0.2">
      <c r="A269" t="s">
        <v>304</v>
      </c>
      <c r="B269" s="7">
        <v>45130.503472222226</v>
      </c>
      <c r="C269" t="s">
        <v>41</v>
      </c>
      <c r="D269" t="s">
        <v>40</v>
      </c>
      <c r="E269" t="str">
        <f t="shared" si="17"/>
        <v>NoCo</v>
      </c>
      <c r="F269" t="str">
        <f t="shared" si="18"/>
        <v>Rocky Mountain</v>
      </c>
      <c r="G269" t="str">
        <f t="shared" si="19"/>
        <v>NoCo</v>
      </c>
      <c r="H269" t="str">
        <f t="shared" si="20"/>
        <v>RMV</v>
      </c>
    </row>
    <row r="270" spans="1:8" x14ac:dyDescent="0.2">
      <c r="A270" t="s">
        <v>305</v>
      </c>
      <c r="B270" s="7">
        <v>45130.541666666672</v>
      </c>
      <c r="C270" t="s">
        <v>28</v>
      </c>
      <c r="D270" t="s">
        <v>37</v>
      </c>
      <c r="E270" t="str">
        <f t="shared" si="17"/>
        <v>Grand Junction</v>
      </c>
      <c r="F270" t="str">
        <f t="shared" si="18"/>
        <v>Idaho Falls</v>
      </c>
      <c r="G270" t="str">
        <f t="shared" si="19"/>
        <v>GJJ</v>
      </c>
      <c r="H270" t="str">
        <f t="shared" si="20"/>
        <v>IDF</v>
      </c>
    </row>
    <row r="271" spans="1:8" x14ac:dyDescent="0.2">
      <c r="A271" t="s">
        <v>306</v>
      </c>
      <c r="B271" s="7">
        <v>45130.545138888891</v>
      </c>
      <c r="C271" t="s">
        <v>29</v>
      </c>
      <c r="D271" t="s">
        <v>31</v>
      </c>
      <c r="E271" t="str">
        <f t="shared" si="17"/>
        <v>Ogden</v>
      </c>
      <c r="F271" t="str">
        <f t="shared" si="18"/>
        <v>Missoula</v>
      </c>
      <c r="G271" t="str">
        <f t="shared" si="19"/>
        <v>OGD</v>
      </c>
      <c r="H271" t="str">
        <f t="shared" si="20"/>
        <v>MIS</v>
      </c>
    </row>
    <row r="272" spans="1:8" x14ac:dyDescent="0.2">
      <c r="A272" t="s">
        <v>307</v>
      </c>
      <c r="B272" s="7">
        <v>45132.729166666672</v>
      </c>
      <c r="C272" t="s">
        <v>38</v>
      </c>
      <c r="D272" t="s">
        <v>29</v>
      </c>
      <c r="E272" t="str">
        <f t="shared" si="17"/>
        <v>Boise</v>
      </c>
      <c r="F272" t="str">
        <f t="shared" si="18"/>
        <v>Ogden</v>
      </c>
      <c r="G272" t="str">
        <f t="shared" si="19"/>
        <v>BOI</v>
      </c>
      <c r="H272" t="str">
        <f t="shared" si="20"/>
        <v>OGD</v>
      </c>
    </row>
    <row r="273" spans="1:8" x14ac:dyDescent="0.2">
      <c r="A273" t="s">
        <v>308</v>
      </c>
      <c r="B273" s="7">
        <v>45132.732638888891</v>
      </c>
      <c r="C273" t="s">
        <v>28</v>
      </c>
      <c r="D273" t="s">
        <v>40</v>
      </c>
      <c r="E273" t="str">
        <f t="shared" si="17"/>
        <v>Grand Junction</v>
      </c>
      <c r="F273" t="str">
        <f t="shared" si="18"/>
        <v>Rocky Mountain</v>
      </c>
      <c r="G273" t="str">
        <f t="shared" si="19"/>
        <v>GJJ</v>
      </c>
      <c r="H273" t="str">
        <f t="shared" si="20"/>
        <v>RMV</v>
      </c>
    </row>
    <row r="274" spans="1:8" x14ac:dyDescent="0.2">
      <c r="A274" t="s">
        <v>309</v>
      </c>
      <c r="B274" s="7">
        <v>45132.75</v>
      </c>
      <c r="C274" t="s">
        <v>32</v>
      </c>
      <c r="D274" t="s">
        <v>35</v>
      </c>
      <c r="E274" t="str">
        <f t="shared" si="17"/>
        <v>Billings</v>
      </c>
      <c r="F274" t="str">
        <f t="shared" si="18"/>
        <v>Great Falls</v>
      </c>
      <c r="G274" t="str">
        <f t="shared" si="19"/>
        <v>BIL</v>
      </c>
      <c r="H274" t="str">
        <f t="shared" si="20"/>
        <v>GFV</v>
      </c>
    </row>
    <row r="275" spans="1:8" x14ac:dyDescent="0.2">
      <c r="A275" t="s">
        <v>310</v>
      </c>
      <c r="B275" s="7">
        <v>45132.753472222226</v>
      </c>
      <c r="C275" t="s">
        <v>37</v>
      </c>
      <c r="D275" t="s">
        <v>41</v>
      </c>
      <c r="E275" t="str">
        <f t="shared" si="17"/>
        <v>Idaho Falls</v>
      </c>
      <c r="F275" t="str">
        <f t="shared" si="18"/>
        <v>NoCo</v>
      </c>
      <c r="G275" t="str">
        <f t="shared" si="19"/>
        <v>IDF</v>
      </c>
      <c r="H275" t="str">
        <f t="shared" si="20"/>
        <v>NoCo</v>
      </c>
    </row>
    <row r="276" spans="1:8" x14ac:dyDescent="0.2">
      <c r="A276" t="s">
        <v>311</v>
      </c>
      <c r="B276" s="7">
        <v>45132.753472222226</v>
      </c>
      <c r="C276" t="s">
        <v>31</v>
      </c>
      <c r="D276" t="s">
        <v>34</v>
      </c>
      <c r="E276" t="str">
        <f t="shared" si="17"/>
        <v>Missoula</v>
      </c>
      <c r="F276" t="str">
        <f t="shared" si="18"/>
        <v>Glacier</v>
      </c>
      <c r="G276" t="str">
        <f t="shared" si="19"/>
        <v>MIS</v>
      </c>
      <c r="H276" t="str">
        <f t="shared" si="20"/>
        <v>GRR</v>
      </c>
    </row>
    <row r="277" spans="1:8" x14ac:dyDescent="0.2">
      <c r="A277" t="s">
        <v>312</v>
      </c>
      <c r="B277" s="7">
        <v>45133.729166666672</v>
      </c>
      <c r="C277" t="s">
        <v>38</v>
      </c>
      <c r="D277" t="s">
        <v>29</v>
      </c>
      <c r="E277" t="str">
        <f t="shared" si="17"/>
        <v>Boise</v>
      </c>
      <c r="F277" t="str">
        <f t="shared" si="18"/>
        <v>Ogden</v>
      </c>
      <c r="G277" t="str">
        <f t="shared" si="19"/>
        <v>BOI</v>
      </c>
      <c r="H277" t="str">
        <f t="shared" si="20"/>
        <v>OGD</v>
      </c>
    </row>
    <row r="278" spans="1:8" x14ac:dyDescent="0.2">
      <c r="A278" t="s">
        <v>313</v>
      </c>
      <c r="B278" s="7">
        <v>45133.732638888891</v>
      </c>
      <c r="C278" t="s">
        <v>28</v>
      </c>
      <c r="D278" t="s">
        <v>40</v>
      </c>
      <c r="E278" t="str">
        <f t="shared" si="17"/>
        <v>Grand Junction</v>
      </c>
      <c r="F278" t="str">
        <f t="shared" si="18"/>
        <v>Rocky Mountain</v>
      </c>
      <c r="G278" t="str">
        <f t="shared" si="19"/>
        <v>GJJ</v>
      </c>
      <c r="H278" t="str">
        <f t="shared" si="20"/>
        <v>RMV</v>
      </c>
    </row>
    <row r="279" spans="1:8" x14ac:dyDescent="0.2">
      <c r="A279" t="s">
        <v>314</v>
      </c>
      <c r="B279" s="7">
        <v>45133.75</v>
      </c>
      <c r="C279" t="s">
        <v>32</v>
      </c>
      <c r="D279" t="s">
        <v>35</v>
      </c>
      <c r="E279" t="str">
        <f t="shared" si="17"/>
        <v>Billings</v>
      </c>
      <c r="F279" t="str">
        <f t="shared" si="18"/>
        <v>Great Falls</v>
      </c>
      <c r="G279" t="str">
        <f t="shared" si="19"/>
        <v>BIL</v>
      </c>
      <c r="H279" t="str">
        <f t="shared" si="20"/>
        <v>GFV</v>
      </c>
    </row>
    <row r="280" spans="1:8" x14ac:dyDescent="0.2">
      <c r="A280" t="s">
        <v>315</v>
      </c>
      <c r="B280" s="7">
        <v>45133.753472222226</v>
      </c>
      <c r="C280" t="s">
        <v>37</v>
      </c>
      <c r="D280" t="s">
        <v>41</v>
      </c>
      <c r="E280" t="str">
        <f t="shared" si="17"/>
        <v>Idaho Falls</v>
      </c>
      <c r="F280" t="str">
        <f t="shared" si="18"/>
        <v>NoCo</v>
      </c>
      <c r="G280" t="str">
        <f t="shared" si="19"/>
        <v>IDF</v>
      </c>
      <c r="H280" t="str">
        <f t="shared" si="20"/>
        <v>NoCo</v>
      </c>
    </row>
    <row r="281" spans="1:8" x14ac:dyDescent="0.2">
      <c r="A281" t="s">
        <v>316</v>
      </c>
      <c r="B281" s="7">
        <v>45133.753472222226</v>
      </c>
      <c r="C281" t="s">
        <v>31</v>
      </c>
      <c r="D281" t="s">
        <v>34</v>
      </c>
      <c r="E281" t="str">
        <f t="shared" si="17"/>
        <v>Missoula</v>
      </c>
      <c r="F281" t="str">
        <f t="shared" si="18"/>
        <v>Glacier</v>
      </c>
      <c r="G281" t="str">
        <f t="shared" si="19"/>
        <v>MIS</v>
      </c>
      <c r="H281" t="str">
        <f t="shared" si="20"/>
        <v>GRR</v>
      </c>
    </row>
    <row r="282" spans="1:8" x14ac:dyDescent="0.2">
      <c r="A282" t="s">
        <v>317</v>
      </c>
      <c r="B282" s="7">
        <v>45134.729166666672</v>
      </c>
      <c r="C282" t="s">
        <v>38</v>
      </c>
      <c r="D282" t="s">
        <v>29</v>
      </c>
      <c r="E282" t="str">
        <f t="shared" si="17"/>
        <v>Boise</v>
      </c>
      <c r="F282" t="str">
        <f t="shared" si="18"/>
        <v>Ogden</v>
      </c>
      <c r="G282" t="str">
        <f t="shared" si="19"/>
        <v>BOI</v>
      </c>
      <c r="H282" t="str">
        <f t="shared" si="20"/>
        <v>OGD</v>
      </c>
    </row>
    <row r="283" spans="1:8" x14ac:dyDescent="0.2">
      <c r="A283" t="s">
        <v>318</v>
      </c>
      <c r="B283" s="7">
        <v>45134.732638888891</v>
      </c>
      <c r="C283" t="s">
        <v>28</v>
      </c>
      <c r="D283" t="s">
        <v>40</v>
      </c>
      <c r="E283" t="str">
        <f t="shared" si="17"/>
        <v>Grand Junction</v>
      </c>
      <c r="F283" t="str">
        <f t="shared" si="18"/>
        <v>Rocky Mountain</v>
      </c>
      <c r="G283" t="str">
        <f t="shared" si="19"/>
        <v>GJJ</v>
      </c>
      <c r="H283" t="str">
        <f t="shared" si="20"/>
        <v>RMV</v>
      </c>
    </row>
    <row r="284" spans="1:8" x14ac:dyDescent="0.2">
      <c r="A284" t="s">
        <v>319</v>
      </c>
      <c r="B284" s="7">
        <v>45134.75</v>
      </c>
      <c r="C284" t="s">
        <v>32</v>
      </c>
      <c r="D284" t="s">
        <v>35</v>
      </c>
      <c r="E284" t="str">
        <f t="shared" si="17"/>
        <v>Billings</v>
      </c>
      <c r="F284" t="str">
        <f t="shared" si="18"/>
        <v>Great Falls</v>
      </c>
      <c r="G284" t="str">
        <f t="shared" si="19"/>
        <v>BIL</v>
      </c>
      <c r="H284" t="str">
        <f t="shared" si="20"/>
        <v>GFV</v>
      </c>
    </row>
    <row r="285" spans="1:8" x14ac:dyDescent="0.2">
      <c r="A285" t="s">
        <v>320</v>
      </c>
      <c r="B285" s="7">
        <v>45134.753472222226</v>
      </c>
      <c r="C285" t="s">
        <v>37</v>
      </c>
      <c r="D285" t="s">
        <v>41</v>
      </c>
      <c r="E285" t="str">
        <f t="shared" si="17"/>
        <v>Idaho Falls</v>
      </c>
      <c r="F285" t="str">
        <f t="shared" si="18"/>
        <v>NoCo</v>
      </c>
      <c r="G285" t="str">
        <f t="shared" si="19"/>
        <v>IDF</v>
      </c>
      <c r="H285" t="str">
        <f t="shared" si="20"/>
        <v>NoCo</v>
      </c>
    </row>
    <row r="286" spans="1:8" x14ac:dyDescent="0.2">
      <c r="A286" t="s">
        <v>321</v>
      </c>
      <c r="B286" s="7">
        <v>45134.753472222226</v>
      </c>
      <c r="C286" t="s">
        <v>31</v>
      </c>
      <c r="D286" t="s">
        <v>34</v>
      </c>
      <c r="E286" t="str">
        <f t="shared" si="17"/>
        <v>Missoula</v>
      </c>
      <c r="F286" t="str">
        <f t="shared" si="18"/>
        <v>Glacier</v>
      </c>
      <c r="G286" t="str">
        <f t="shared" si="19"/>
        <v>MIS</v>
      </c>
      <c r="H286" t="str">
        <f t="shared" si="20"/>
        <v>GRR</v>
      </c>
    </row>
    <row r="287" spans="1:8" x14ac:dyDescent="0.2">
      <c r="A287" t="s">
        <v>322</v>
      </c>
      <c r="B287" s="7">
        <v>45135.729166666672</v>
      </c>
      <c r="C287" t="s">
        <v>38</v>
      </c>
      <c r="D287" t="s">
        <v>29</v>
      </c>
      <c r="E287" t="str">
        <f t="shared" si="17"/>
        <v>Boise</v>
      </c>
      <c r="F287" t="str">
        <f t="shared" si="18"/>
        <v>Ogden</v>
      </c>
      <c r="G287" t="str">
        <f t="shared" si="19"/>
        <v>BOI</v>
      </c>
      <c r="H287" t="str">
        <f t="shared" si="20"/>
        <v>OGD</v>
      </c>
    </row>
    <row r="288" spans="1:8" x14ac:dyDescent="0.2">
      <c r="A288" t="s">
        <v>323</v>
      </c>
      <c r="B288" s="7">
        <v>45135.732638888891</v>
      </c>
      <c r="C288" t="s">
        <v>40</v>
      </c>
      <c r="D288" t="s">
        <v>28</v>
      </c>
      <c r="E288" t="str">
        <f t="shared" si="17"/>
        <v>Rocky Mountain</v>
      </c>
      <c r="F288" t="str">
        <f t="shared" si="18"/>
        <v>Grand Junction</v>
      </c>
      <c r="G288" t="str">
        <f t="shared" si="19"/>
        <v>RMV</v>
      </c>
      <c r="H288" t="str">
        <f t="shared" si="20"/>
        <v>GJJ</v>
      </c>
    </row>
    <row r="289" spans="1:8" x14ac:dyDescent="0.2">
      <c r="A289" t="s">
        <v>324</v>
      </c>
      <c r="B289" s="7">
        <v>45135.75</v>
      </c>
      <c r="C289" t="s">
        <v>32</v>
      </c>
      <c r="D289" t="s">
        <v>35</v>
      </c>
      <c r="E289" t="str">
        <f t="shared" si="17"/>
        <v>Billings</v>
      </c>
      <c r="F289" t="str">
        <f t="shared" si="18"/>
        <v>Great Falls</v>
      </c>
      <c r="G289" t="str">
        <f t="shared" si="19"/>
        <v>BIL</v>
      </c>
      <c r="H289" t="str">
        <f t="shared" si="20"/>
        <v>GFV</v>
      </c>
    </row>
    <row r="290" spans="1:8" x14ac:dyDescent="0.2">
      <c r="A290" t="s">
        <v>325</v>
      </c>
      <c r="B290" s="7">
        <v>45135.753472222226</v>
      </c>
      <c r="C290" t="s">
        <v>37</v>
      </c>
      <c r="D290" t="s">
        <v>41</v>
      </c>
      <c r="E290" t="str">
        <f t="shared" si="17"/>
        <v>Idaho Falls</v>
      </c>
      <c r="F290" t="str">
        <f t="shared" si="18"/>
        <v>NoCo</v>
      </c>
      <c r="G290" t="str">
        <f t="shared" si="19"/>
        <v>IDF</v>
      </c>
      <c r="H290" t="str">
        <f t="shared" si="20"/>
        <v>NoCo</v>
      </c>
    </row>
    <row r="291" spans="1:8" x14ac:dyDescent="0.2">
      <c r="A291" t="s">
        <v>326</v>
      </c>
      <c r="B291" s="7">
        <v>45135.753472222226</v>
      </c>
      <c r="C291" t="s">
        <v>31</v>
      </c>
      <c r="D291" t="s">
        <v>34</v>
      </c>
      <c r="E291" t="str">
        <f t="shared" si="17"/>
        <v>Missoula</v>
      </c>
      <c r="F291" t="str">
        <f t="shared" si="18"/>
        <v>Glacier</v>
      </c>
      <c r="G291" t="str">
        <f t="shared" si="19"/>
        <v>MIS</v>
      </c>
      <c r="H291" t="str">
        <f t="shared" si="20"/>
        <v>GRR</v>
      </c>
    </row>
    <row r="292" spans="1:8" x14ac:dyDescent="0.2">
      <c r="A292" t="s">
        <v>327</v>
      </c>
      <c r="B292" s="7">
        <v>45136.729166666672</v>
      </c>
      <c r="C292" t="s">
        <v>38</v>
      </c>
      <c r="D292" t="s">
        <v>29</v>
      </c>
      <c r="E292" t="str">
        <f t="shared" si="17"/>
        <v>Boise</v>
      </c>
      <c r="F292" t="str">
        <f t="shared" si="18"/>
        <v>Ogden</v>
      </c>
      <c r="G292" t="str">
        <f t="shared" si="19"/>
        <v>BOI</v>
      </c>
      <c r="H292" t="str">
        <f t="shared" si="20"/>
        <v>OGD</v>
      </c>
    </row>
    <row r="293" spans="1:8" x14ac:dyDescent="0.2">
      <c r="A293" t="s">
        <v>328</v>
      </c>
      <c r="B293" s="7">
        <v>45136.732638888891</v>
      </c>
      <c r="C293" t="s">
        <v>40</v>
      </c>
      <c r="D293" t="s">
        <v>28</v>
      </c>
      <c r="E293" t="str">
        <f t="shared" si="17"/>
        <v>Rocky Mountain</v>
      </c>
      <c r="F293" t="str">
        <f t="shared" si="18"/>
        <v>Grand Junction</v>
      </c>
      <c r="G293" t="str">
        <f t="shared" si="19"/>
        <v>RMV</v>
      </c>
      <c r="H293" t="str">
        <f t="shared" si="20"/>
        <v>GJJ</v>
      </c>
    </row>
    <row r="294" spans="1:8" x14ac:dyDescent="0.2">
      <c r="A294" t="s">
        <v>329</v>
      </c>
      <c r="B294" s="7">
        <v>45136.75</v>
      </c>
      <c r="C294" t="s">
        <v>32</v>
      </c>
      <c r="D294" t="s">
        <v>35</v>
      </c>
      <c r="E294" t="str">
        <f t="shared" si="17"/>
        <v>Billings</v>
      </c>
      <c r="F294" t="str">
        <f t="shared" si="18"/>
        <v>Great Falls</v>
      </c>
      <c r="G294" t="str">
        <f t="shared" si="19"/>
        <v>BIL</v>
      </c>
      <c r="H294" t="str">
        <f t="shared" si="20"/>
        <v>GFV</v>
      </c>
    </row>
    <row r="295" spans="1:8" x14ac:dyDescent="0.2">
      <c r="A295" t="s">
        <v>330</v>
      </c>
      <c r="B295" s="7">
        <v>45136.753472222226</v>
      </c>
      <c r="C295" t="s">
        <v>37</v>
      </c>
      <c r="D295" t="s">
        <v>41</v>
      </c>
      <c r="E295" t="str">
        <f t="shared" si="17"/>
        <v>Idaho Falls</v>
      </c>
      <c r="F295" t="str">
        <f t="shared" si="18"/>
        <v>NoCo</v>
      </c>
      <c r="G295" t="str">
        <f t="shared" si="19"/>
        <v>IDF</v>
      </c>
      <c r="H295" t="str">
        <f t="shared" si="20"/>
        <v>NoCo</v>
      </c>
    </row>
    <row r="296" spans="1:8" x14ac:dyDescent="0.2">
      <c r="A296" t="s">
        <v>331</v>
      </c>
      <c r="B296" s="7">
        <v>45136.753472222226</v>
      </c>
      <c r="C296" t="s">
        <v>31</v>
      </c>
      <c r="D296" t="s">
        <v>34</v>
      </c>
      <c r="E296" t="str">
        <f t="shared" si="17"/>
        <v>Missoula</v>
      </c>
      <c r="F296" t="str">
        <f t="shared" si="18"/>
        <v>Glacier</v>
      </c>
      <c r="G296" t="str">
        <f t="shared" si="19"/>
        <v>MIS</v>
      </c>
      <c r="H296" t="str">
        <f t="shared" si="20"/>
        <v>GRR</v>
      </c>
    </row>
    <row r="297" spans="1:8" x14ac:dyDescent="0.2">
      <c r="A297" t="s">
        <v>332</v>
      </c>
      <c r="B297" s="7">
        <v>45137.4375</v>
      </c>
      <c r="C297" t="s">
        <v>32</v>
      </c>
      <c r="D297" t="s">
        <v>35</v>
      </c>
      <c r="E297" t="str">
        <f t="shared" si="17"/>
        <v>Billings</v>
      </c>
      <c r="F297" t="str">
        <f t="shared" si="18"/>
        <v>Great Falls</v>
      </c>
      <c r="G297" t="str">
        <f t="shared" si="19"/>
        <v>BIL</v>
      </c>
      <c r="H297" t="str">
        <f t="shared" si="20"/>
        <v>GFV</v>
      </c>
    </row>
    <row r="298" spans="1:8" x14ac:dyDescent="0.2">
      <c r="A298" t="s">
        <v>333</v>
      </c>
      <c r="B298" s="7">
        <v>45137.503472222226</v>
      </c>
      <c r="C298" t="s">
        <v>37</v>
      </c>
      <c r="D298" t="s">
        <v>41</v>
      </c>
      <c r="E298" t="str">
        <f t="shared" si="17"/>
        <v>Idaho Falls</v>
      </c>
      <c r="F298" t="str">
        <f t="shared" si="18"/>
        <v>NoCo</v>
      </c>
      <c r="G298" t="str">
        <f t="shared" si="19"/>
        <v>IDF</v>
      </c>
      <c r="H298" t="str">
        <f t="shared" si="20"/>
        <v>NoCo</v>
      </c>
    </row>
    <row r="299" spans="1:8" x14ac:dyDescent="0.2">
      <c r="A299" t="s">
        <v>334</v>
      </c>
      <c r="B299" s="7">
        <v>45137.503472222226</v>
      </c>
      <c r="C299" t="s">
        <v>31</v>
      </c>
      <c r="D299" t="s">
        <v>34</v>
      </c>
      <c r="E299" t="str">
        <f t="shared" si="17"/>
        <v>Missoula</v>
      </c>
      <c r="F299" t="str">
        <f t="shared" si="18"/>
        <v>Glacier</v>
      </c>
      <c r="G299" t="str">
        <f t="shared" si="19"/>
        <v>MIS</v>
      </c>
      <c r="H299" t="str">
        <f t="shared" si="20"/>
        <v>GRR</v>
      </c>
    </row>
    <row r="300" spans="1:8" x14ac:dyDescent="0.2">
      <c r="A300" t="s">
        <v>335</v>
      </c>
      <c r="B300" s="7">
        <v>45137.541666666672</v>
      </c>
      <c r="C300" t="s">
        <v>38</v>
      </c>
      <c r="D300" t="s">
        <v>29</v>
      </c>
      <c r="E300" t="str">
        <f t="shared" si="17"/>
        <v>Boise</v>
      </c>
      <c r="F300" t="str">
        <f t="shared" si="18"/>
        <v>Ogden</v>
      </c>
      <c r="G300" t="str">
        <f t="shared" si="19"/>
        <v>BOI</v>
      </c>
      <c r="H300" t="str">
        <f t="shared" si="20"/>
        <v>OGD</v>
      </c>
    </row>
    <row r="301" spans="1:8" x14ac:dyDescent="0.2">
      <c r="A301" t="s">
        <v>336</v>
      </c>
      <c r="B301" s="7">
        <v>45137.545138888891</v>
      </c>
      <c r="C301" t="s">
        <v>40</v>
      </c>
      <c r="D301" t="s">
        <v>28</v>
      </c>
      <c r="E301" t="str">
        <f t="shared" si="17"/>
        <v>Rocky Mountain</v>
      </c>
      <c r="F301" t="str">
        <f t="shared" si="18"/>
        <v>Grand Junction</v>
      </c>
      <c r="G301" t="str">
        <f t="shared" si="19"/>
        <v>RMV</v>
      </c>
      <c r="H301" t="str">
        <f t="shared" si="20"/>
        <v>GJJ</v>
      </c>
    </row>
    <row r="302" spans="1:8" x14ac:dyDescent="0.2">
      <c r="A302" t="s">
        <v>337</v>
      </c>
      <c r="B302" s="7">
        <v>45139.732638888891</v>
      </c>
      <c r="C302" t="s">
        <v>34</v>
      </c>
      <c r="D302" t="s">
        <v>32</v>
      </c>
      <c r="E302" t="str">
        <f t="shared" si="17"/>
        <v>Glacier</v>
      </c>
      <c r="F302" t="str">
        <f t="shared" si="18"/>
        <v>Billings</v>
      </c>
      <c r="G302" t="str">
        <f t="shared" si="19"/>
        <v>GRR</v>
      </c>
      <c r="H302" t="str">
        <f t="shared" si="20"/>
        <v>BIL</v>
      </c>
    </row>
    <row r="303" spans="1:8" x14ac:dyDescent="0.2">
      <c r="A303" t="s">
        <v>338</v>
      </c>
      <c r="B303" s="7">
        <v>45139.732638888891</v>
      </c>
      <c r="C303" t="s">
        <v>41</v>
      </c>
      <c r="D303" t="s">
        <v>28</v>
      </c>
      <c r="E303" t="str">
        <f t="shared" si="17"/>
        <v>NoCo</v>
      </c>
      <c r="F303" t="str">
        <f t="shared" si="18"/>
        <v>Grand Junction</v>
      </c>
      <c r="G303" t="str">
        <f t="shared" si="19"/>
        <v>NoCo</v>
      </c>
      <c r="H303" t="str">
        <f t="shared" si="20"/>
        <v>GJJ</v>
      </c>
    </row>
    <row r="304" spans="1:8" x14ac:dyDescent="0.2">
      <c r="A304" t="s">
        <v>339</v>
      </c>
      <c r="B304" s="7">
        <v>45139.732638888891</v>
      </c>
      <c r="C304" t="s">
        <v>29</v>
      </c>
      <c r="D304" t="s">
        <v>40</v>
      </c>
      <c r="E304" t="str">
        <f t="shared" si="17"/>
        <v>Ogden</v>
      </c>
      <c r="F304" t="str">
        <f t="shared" si="18"/>
        <v>Rocky Mountain</v>
      </c>
      <c r="G304" t="str">
        <f t="shared" si="19"/>
        <v>OGD</v>
      </c>
      <c r="H304" t="str">
        <f t="shared" si="20"/>
        <v>RMV</v>
      </c>
    </row>
    <row r="305" spans="1:8" x14ac:dyDescent="0.2">
      <c r="A305" t="s">
        <v>340</v>
      </c>
      <c r="B305" s="7">
        <v>45139.753472222226</v>
      </c>
      <c r="C305" t="s">
        <v>38</v>
      </c>
      <c r="D305" t="s">
        <v>37</v>
      </c>
      <c r="E305" t="str">
        <f t="shared" si="17"/>
        <v>Boise</v>
      </c>
      <c r="F305" t="str">
        <f t="shared" si="18"/>
        <v>Idaho Falls</v>
      </c>
      <c r="G305" t="str">
        <f t="shared" si="19"/>
        <v>BOI</v>
      </c>
      <c r="H305" t="str">
        <f t="shared" si="20"/>
        <v>IDF</v>
      </c>
    </row>
    <row r="306" spans="1:8" x14ac:dyDescent="0.2">
      <c r="A306" t="s">
        <v>341</v>
      </c>
      <c r="B306" s="7">
        <v>45139.753472222226</v>
      </c>
      <c r="C306" t="s">
        <v>35</v>
      </c>
      <c r="D306" t="s">
        <v>31</v>
      </c>
      <c r="E306" t="str">
        <f t="shared" si="17"/>
        <v>Great Falls</v>
      </c>
      <c r="F306" t="str">
        <f t="shared" si="18"/>
        <v>Missoula</v>
      </c>
      <c r="G306" t="str">
        <f t="shared" si="19"/>
        <v>GFV</v>
      </c>
      <c r="H306" t="str">
        <f t="shared" si="20"/>
        <v>MIS</v>
      </c>
    </row>
    <row r="307" spans="1:8" x14ac:dyDescent="0.2">
      <c r="A307" t="s">
        <v>342</v>
      </c>
      <c r="B307" s="7">
        <v>45140.732638888891</v>
      </c>
      <c r="C307" t="s">
        <v>34</v>
      </c>
      <c r="D307" t="s">
        <v>32</v>
      </c>
      <c r="E307" t="str">
        <f t="shared" si="17"/>
        <v>Glacier</v>
      </c>
      <c r="F307" t="str">
        <f t="shared" si="18"/>
        <v>Billings</v>
      </c>
      <c r="G307" t="str">
        <f t="shared" si="19"/>
        <v>GRR</v>
      </c>
      <c r="H307" t="str">
        <f t="shared" si="20"/>
        <v>BIL</v>
      </c>
    </row>
    <row r="308" spans="1:8" x14ac:dyDescent="0.2">
      <c r="A308" t="s">
        <v>343</v>
      </c>
      <c r="B308" s="7">
        <v>45140.732638888891</v>
      </c>
      <c r="C308" t="s">
        <v>41</v>
      </c>
      <c r="D308" t="s">
        <v>28</v>
      </c>
      <c r="E308" t="str">
        <f t="shared" si="17"/>
        <v>NoCo</v>
      </c>
      <c r="F308" t="str">
        <f t="shared" si="18"/>
        <v>Grand Junction</v>
      </c>
      <c r="G308" t="str">
        <f t="shared" si="19"/>
        <v>NoCo</v>
      </c>
      <c r="H308" t="str">
        <f t="shared" si="20"/>
        <v>GJJ</v>
      </c>
    </row>
    <row r="309" spans="1:8" x14ac:dyDescent="0.2">
      <c r="A309" t="s">
        <v>344</v>
      </c>
      <c r="B309" s="7">
        <v>45140.732638888891</v>
      </c>
      <c r="C309" t="s">
        <v>29</v>
      </c>
      <c r="D309" t="s">
        <v>40</v>
      </c>
      <c r="E309" t="str">
        <f t="shared" si="17"/>
        <v>Ogden</v>
      </c>
      <c r="F309" t="str">
        <f t="shared" si="18"/>
        <v>Rocky Mountain</v>
      </c>
      <c r="G309" t="str">
        <f t="shared" si="19"/>
        <v>OGD</v>
      </c>
      <c r="H309" t="str">
        <f t="shared" si="20"/>
        <v>RMV</v>
      </c>
    </row>
    <row r="310" spans="1:8" x14ac:dyDescent="0.2">
      <c r="A310" t="s">
        <v>345</v>
      </c>
      <c r="B310" s="7">
        <v>45140.753472222226</v>
      </c>
      <c r="C310" t="s">
        <v>38</v>
      </c>
      <c r="D310" t="s">
        <v>37</v>
      </c>
      <c r="E310" t="str">
        <f t="shared" si="17"/>
        <v>Boise</v>
      </c>
      <c r="F310" t="str">
        <f t="shared" si="18"/>
        <v>Idaho Falls</v>
      </c>
      <c r="G310" t="str">
        <f t="shared" si="19"/>
        <v>BOI</v>
      </c>
      <c r="H310" t="str">
        <f t="shared" si="20"/>
        <v>IDF</v>
      </c>
    </row>
    <row r="311" spans="1:8" x14ac:dyDescent="0.2">
      <c r="A311" t="s">
        <v>346</v>
      </c>
      <c r="B311" s="7">
        <v>45140.753472222226</v>
      </c>
      <c r="C311" t="s">
        <v>35</v>
      </c>
      <c r="D311" t="s">
        <v>31</v>
      </c>
      <c r="E311" t="str">
        <f t="shared" si="17"/>
        <v>Great Falls</v>
      </c>
      <c r="F311" t="str">
        <f t="shared" si="18"/>
        <v>Missoula</v>
      </c>
      <c r="G311" t="str">
        <f t="shared" si="19"/>
        <v>GFV</v>
      </c>
      <c r="H311" t="str">
        <f t="shared" si="20"/>
        <v>MIS</v>
      </c>
    </row>
    <row r="312" spans="1:8" x14ac:dyDescent="0.2">
      <c r="A312" t="s">
        <v>347</v>
      </c>
      <c r="B312" s="7">
        <v>45141.732638888891</v>
      </c>
      <c r="C312" t="s">
        <v>34</v>
      </c>
      <c r="D312" t="s">
        <v>32</v>
      </c>
      <c r="E312" t="str">
        <f t="shared" si="17"/>
        <v>Glacier</v>
      </c>
      <c r="F312" t="str">
        <f t="shared" si="18"/>
        <v>Billings</v>
      </c>
      <c r="G312" t="str">
        <f t="shared" si="19"/>
        <v>GRR</v>
      </c>
      <c r="H312" t="str">
        <f t="shared" si="20"/>
        <v>BIL</v>
      </c>
    </row>
    <row r="313" spans="1:8" x14ac:dyDescent="0.2">
      <c r="A313" t="s">
        <v>348</v>
      </c>
      <c r="B313" s="7">
        <v>45141.732638888891</v>
      </c>
      <c r="C313" t="s">
        <v>41</v>
      </c>
      <c r="D313" t="s">
        <v>28</v>
      </c>
      <c r="E313" t="str">
        <f t="shared" si="17"/>
        <v>NoCo</v>
      </c>
      <c r="F313" t="str">
        <f t="shared" si="18"/>
        <v>Grand Junction</v>
      </c>
      <c r="G313" t="str">
        <f t="shared" si="19"/>
        <v>NoCo</v>
      </c>
      <c r="H313" t="str">
        <f t="shared" si="20"/>
        <v>GJJ</v>
      </c>
    </row>
    <row r="314" spans="1:8" x14ac:dyDescent="0.2">
      <c r="A314" t="s">
        <v>349</v>
      </c>
      <c r="B314" s="7">
        <v>45141.732638888891</v>
      </c>
      <c r="C314" t="s">
        <v>29</v>
      </c>
      <c r="D314" t="s">
        <v>40</v>
      </c>
      <c r="E314" t="str">
        <f t="shared" si="17"/>
        <v>Ogden</v>
      </c>
      <c r="F314" t="str">
        <f t="shared" si="18"/>
        <v>Rocky Mountain</v>
      </c>
      <c r="G314" t="str">
        <f t="shared" si="19"/>
        <v>OGD</v>
      </c>
      <c r="H314" t="str">
        <f t="shared" si="20"/>
        <v>RMV</v>
      </c>
    </row>
    <row r="315" spans="1:8" x14ac:dyDescent="0.2">
      <c r="A315" t="s">
        <v>350</v>
      </c>
      <c r="B315" s="7">
        <v>45141.753472222226</v>
      </c>
      <c r="C315" t="s">
        <v>38</v>
      </c>
      <c r="D315" t="s">
        <v>37</v>
      </c>
      <c r="E315" t="str">
        <f t="shared" si="17"/>
        <v>Boise</v>
      </c>
      <c r="F315" t="str">
        <f t="shared" si="18"/>
        <v>Idaho Falls</v>
      </c>
      <c r="G315" t="str">
        <f t="shared" si="19"/>
        <v>BOI</v>
      </c>
      <c r="H315" t="str">
        <f t="shared" si="20"/>
        <v>IDF</v>
      </c>
    </row>
    <row r="316" spans="1:8" x14ac:dyDescent="0.2">
      <c r="A316" t="s">
        <v>351</v>
      </c>
      <c r="B316" s="7">
        <v>45141.753472222226</v>
      </c>
      <c r="C316" t="s">
        <v>35</v>
      </c>
      <c r="D316" t="s">
        <v>31</v>
      </c>
      <c r="E316" t="str">
        <f t="shared" si="17"/>
        <v>Great Falls</v>
      </c>
      <c r="F316" t="str">
        <f t="shared" si="18"/>
        <v>Missoula</v>
      </c>
      <c r="G316" t="str">
        <f t="shared" si="19"/>
        <v>GFV</v>
      </c>
      <c r="H316" t="str">
        <f t="shared" si="20"/>
        <v>MIS</v>
      </c>
    </row>
    <row r="317" spans="1:8" x14ac:dyDescent="0.2">
      <c r="A317" t="s">
        <v>352</v>
      </c>
      <c r="B317" s="7">
        <v>45142.690972222226</v>
      </c>
      <c r="C317" t="s">
        <v>29</v>
      </c>
      <c r="D317" t="s">
        <v>28</v>
      </c>
      <c r="E317" t="str">
        <f t="shared" si="17"/>
        <v>Ogden</v>
      </c>
      <c r="F317" t="str">
        <f t="shared" si="18"/>
        <v>Grand Junction</v>
      </c>
      <c r="G317" t="str">
        <f t="shared" si="19"/>
        <v>OGD</v>
      </c>
      <c r="H317" t="str">
        <f t="shared" si="20"/>
        <v>GJJ</v>
      </c>
    </row>
    <row r="318" spans="1:8" x14ac:dyDescent="0.2">
      <c r="A318" t="s">
        <v>353</v>
      </c>
      <c r="B318" s="7">
        <v>45142.732638888891</v>
      </c>
      <c r="C318" t="s">
        <v>41</v>
      </c>
      <c r="D318" t="s">
        <v>40</v>
      </c>
      <c r="E318" t="str">
        <f t="shared" si="17"/>
        <v>NoCo</v>
      </c>
      <c r="F318" t="str">
        <f t="shared" si="18"/>
        <v>Rocky Mountain</v>
      </c>
      <c r="G318" t="str">
        <f t="shared" si="19"/>
        <v>NoCo</v>
      </c>
      <c r="H318" t="str">
        <f t="shared" si="20"/>
        <v>RMV</v>
      </c>
    </row>
    <row r="319" spans="1:8" x14ac:dyDescent="0.2">
      <c r="A319" t="s">
        <v>354</v>
      </c>
      <c r="B319" s="7">
        <v>45142.75</v>
      </c>
      <c r="C319" t="s">
        <v>34</v>
      </c>
      <c r="D319" t="s">
        <v>35</v>
      </c>
      <c r="E319" t="str">
        <f t="shared" si="17"/>
        <v>Glacier</v>
      </c>
      <c r="F319" t="str">
        <f t="shared" si="18"/>
        <v>Great Falls</v>
      </c>
      <c r="G319" t="str">
        <f t="shared" si="19"/>
        <v>GRR</v>
      </c>
      <c r="H319" t="str">
        <f t="shared" si="20"/>
        <v>GFV</v>
      </c>
    </row>
    <row r="320" spans="1:8" x14ac:dyDescent="0.2">
      <c r="A320" t="s">
        <v>355</v>
      </c>
      <c r="B320" s="7">
        <v>45142.753472222226</v>
      </c>
      <c r="C320" t="s">
        <v>32</v>
      </c>
      <c r="D320" t="s">
        <v>31</v>
      </c>
      <c r="E320" t="str">
        <f t="shared" si="17"/>
        <v>Billings</v>
      </c>
      <c r="F320" t="str">
        <f t="shared" si="18"/>
        <v>Missoula</v>
      </c>
      <c r="G320" t="str">
        <f t="shared" si="19"/>
        <v>BIL</v>
      </c>
      <c r="H320" t="str">
        <f t="shared" si="20"/>
        <v>MIS</v>
      </c>
    </row>
    <row r="321" spans="1:8" x14ac:dyDescent="0.2">
      <c r="A321" t="s">
        <v>356</v>
      </c>
      <c r="B321" s="7">
        <v>45142.753472222226</v>
      </c>
      <c r="C321" t="s">
        <v>37</v>
      </c>
      <c r="D321" t="s">
        <v>38</v>
      </c>
      <c r="E321" t="str">
        <f t="shared" si="17"/>
        <v>Idaho Falls</v>
      </c>
      <c r="F321" t="str">
        <f t="shared" si="18"/>
        <v>Boise</v>
      </c>
      <c r="G321" t="str">
        <f t="shared" si="19"/>
        <v>IDF</v>
      </c>
      <c r="H321" t="str">
        <f t="shared" si="20"/>
        <v>BOI</v>
      </c>
    </row>
    <row r="322" spans="1:8" x14ac:dyDescent="0.2">
      <c r="A322" t="s">
        <v>357</v>
      </c>
      <c r="B322" s="7">
        <v>45143.732638888891</v>
      </c>
      <c r="C322" t="s">
        <v>41</v>
      </c>
      <c r="D322" t="s">
        <v>40</v>
      </c>
      <c r="E322" t="str">
        <f t="shared" ref="E322:E385" si="21">VLOOKUP(C322,$J$1:$L$10,2,FALSE)</f>
        <v>NoCo</v>
      </c>
      <c r="F322" t="str">
        <f t="shared" ref="F322:F385" si="22">VLOOKUP(D322,$J$1:$L$10,2,FALSE)</f>
        <v>Rocky Mountain</v>
      </c>
      <c r="G322" t="str">
        <f t="shared" ref="G322:G385" si="23">VLOOKUP(C322,$J$1:$L$10,3,FALSE)</f>
        <v>NoCo</v>
      </c>
      <c r="H322" t="str">
        <f t="shared" ref="H322:H385" si="24">VLOOKUP(D322,$J$1:$L$10,3,FALSE)</f>
        <v>RMV</v>
      </c>
    </row>
    <row r="323" spans="1:8" x14ac:dyDescent="0.2">
      <c r="A323" t="s">
        <v>358</v>
      </c>
      <c r="B323" s="7">
        <v>45143.732638888891</v>
      </c>
      <c r="C323" t="s">
        <v>29</v>
      </c>
      <c r="D323" t="s">
        <v>28</v>
      </c>
      <c r="E323" t="str">
        <f t="shared" si="21"/>
        <v>Ogden</v>
      </c>
      <c r="F323" t="str">
        <f t="shared" si="22"/>
        <v>Grand Junction</v>
      </c>
      <c r="G323" t="str">
        <f t="shared" si="23"/>
        <v>OGD</v>
      </c>
      <c r="H323" t="str">
        <f t="shared" si="24"/>
        <v>GJJ</v>
      </c>
    </row>
    <row r="324" spans="1:8" x14ac:dyDescent="0.2">
      <c r="A324" t="s">
        <v>359</v>
      </c>
      <c r="B324" s="7">
        <v>45143.75</v>
      </c>
      <c r="C324" t="s">
        <v>34</v>
      </c>
      <c r="D324" t="s">
        <v>35</v>
      </c>
      <c r="E324" t="str">
        <f t="shared" si="21"/>
        <v>Glacier</v>
      </c>
      <c r="F324" t="str">
        <f t="shared" si="22"/>
        <v>Great Falls</v>
      </c>
      <c r="G324" t="str">
        <f t="shared" si="23"/>
        <v>GRR</v>
      </c>
      <c r="H324" t="str">
        <f t="shared" si="24"/>
        <v>GFV</v>
      </c>
    </row>
    <row r="325" spans="1:8" x14ac:dyDescent="0.2">
      <c r="A325" t="s">
        <v>360</v>
      </c>
      <c r="B325" s="7">
        <v>45143.753472222226</v>
      </c>
      <c r="C325" t="s">
        <v>32</v>
      </c>
      <c r="D325" t="s">
        <v>31</v>
      </c>
      <c r="E325" t="str">
        <f t="shared" si="21"/>
        <v>Billings</v>
      </c>
      <c r="F325" t="str">
        <f t="shared" si="22"/>
        <v>Missoula</v>
      </c>
      <c r="G325" t="str">
        <f t="shared" si="23"/>
        <v>BIL</v>
      </c>
      <c r="H325" t="str">
        <f t="shared" si="24"/>
        <v>MIS</v>
      </c>
    </row>
    <row r="326" spans="1:8" x14ac:dyDescent="0.2">
      <c r="A326" t="s">
        <v>361</v>
      </c>
      <c r="B326" s="7">
        <v>45143.753472222226</v>
      </c>
      <c r="C326" t="s">
        <v>37</v>
      </c>
      <c r="D326" t="s">
        <v>38</v>
      </c>
      <c r="E326" t="str">
        <f t="shared" si="21"/>
        <v>Idaho Falls</v>
      </c>
      <c r="F326" t="str">
        <f t="shared" si="22"/>
        <v>Boise</v>
      </c>
      <c r="G326" t="str">
        <f t="shared" si="23"/>
        <v>IDF</v>
      </c>
      <c r="H326" t="str">
        <f t="shared" si="24"/>
        <v>BOI</v>
      </c>
    </row>
    <row r="327" spans="1:8" x14ac:dyDescent="0.2">
      <c r="A327" t="s">
        <v>362</v>
      </c>
      <c r="B327" s="7">
        <v>45144.4375</v>
      </c>
      <c r="C327" t="s">
        <v>34</v>
      </c>
      <c r="D327" t="s">
        <v>35</v>
      </c>
      <c r="E327" t="str">
        <f t="shared" si="21"/>
        <v>Glacier</v>
      </c>
      <c r="F327" t="str">
        <f t="shared" si="22"/>
        <v>Great Falls</v>
      </c>
      <c r="G327" t="str">
        <f t="shared" si="23"/>
        <v>GRR</v>
      </c>
      <c r="H327" t="str">
        <f t="shared" si="24"/>
        <v>GFV</v>
      </c>
    </row>
    <row r="328" spans="1:8" x14ac:dyDescent="0.2">
      <c r="A328" t="s">
        <v>363</v>
      </c>
      <c r="B328" s="7">
        <v>45144.503472222226</v>
      </c>
      <c r="C328" t="s">
        <v>37</v>
      </c>
      <c r="D328" t="s">
        <v>38</v>
      </c>
      <c r="E328" t="str">
        <f t="shared" si="21"/>
        <v>Idaho Falls</v>
      </c>
      <c r="F328" t="str">
        <f t="shared" si="22"/>
        <v>Boise</v>
      </c>
      <c r="G328" t="str">
        <f t="shared" si="23"/>
        <v>IDF</v>
      </c>
      <c r="H328" t="str">
        <f t="shared" si="24"/>
        <v>BOI</v>
      </c>
    </row>
    <row r="329" spans="1:8" x14ac:dyDescent="0.2">
      <c r="A329" t="s">
        <v>364</v>
      </c>
      <c r="B329" s="7">
        <v>45144.503472222226</v>
      </c>
      <c r="C329" t="s">
        <v>41</v>
      </c>
      <c r="D329" t="s">
        <v>40</v>
      </c>
      <c r="E329" t="str">
        <f t="shared" si="21"/>
        <v>NoCo</v>
      </c>
      <c r="F329" t="str">
        <f t="shared" si="22"/>
        <v>Rocky Mountain</v>
      </c>
      <c r="G329" t="str">
        <f t="shared" si="23"/>
        <v>NoCo</v>
      </c>
      <c r="H329" t="str">
        <f t="shared" si="24"/>
        <v>RMV</v>
      </c>
    </row>
    <row r="330" spans="1:8" x14ac:dyDescent="0.2">
      <c r="A330" t="s">
        <v>365</v>
      </c>
      <c r="B330" s="7">
        <v>45144.545138888891</v>
      </c>
      <c r="C330" t="s">
        <v>32</v>
      </c>
      <c r="D330" t="s">
        <v>31</v>
      </c>
      <c r="E330" t="str">
        <f t="shared" si="21"/>
        <v>Billings</v>
      </c>
      <c r="F330" t="str">
        <f t="shared" si="22"/>
        <v>Missoula</v>
      </c>
      <c r="G330" t="str">
        <f t="shared" si="23"/>
        <v>BIL</v>
      </c>
      <c r="H330" t="str">
        <f t="shared" si="24"/>
        <v>MIS</v>
      </c>
    </row>
    <row r="331" spans="1:8" x14ac:dyDescent="0.2">
      <c r="A331" t="s">
        <v>366</v>
      </c>
      <c r="B331" s="7">
        <v>45144.545138888891</v>
      </c>
      <c r="C331" t="s">
        <v>29</v>
      </c>
      <c r="D331" t="s">
        <v>28</v>
      </c>
      <c r="E331" t="str">
        <f t="shared" si="21"/>
        <v>Ogden</v>
      </c>
      <c r="F331" t="str">
        <f t="shared" si="22"/>
        <v>Grand Junction</v>
      </c>
      <c r="G331" t="str">
        <f t="shared" si="23"/>
        <v>OGD</v>
      </c>
      <c r="H331" t="str">
        <f t="shared" si="24"/>
        <v>GJJ</v>
      </c>
    </row>
    <row r="332" spans="1:8" x14ac:dyDescent="0.2">
      <c r="A332" t="s">
        <v>367</v>
      </c>
      <c r="B332" s="7">
        <v>45145.729166666672</v>
      </c>
      <c r="C332" t="s">
        <v>40</v>
      </c>
      <c r="D332" t="s">
        <v>29</v>
      </c>
      <c r="E332" t="str">
        <f t="shared" si="21"/>
        <v>Rocky Mountain</v>
      </c>
      <c r="F332" t="str">
        <f t="shared" si="22"/>
        <v>Ogden</v>
      </c>
      <c r="G332" t="str">
        <f t="shared" si="23"/>
        <v>RMV</v>
      </c>
      <c r="H332" t="str">
        <f t="shared" si="24"/>
        <v>OGD</v>
      </c>
    </row>
    <row r="333" spans="1:8" x14ac:dyDescent="0.2">
      <c r="A333" t="s">
        <v>368</v>
      </c>
      <c r="B333" s="7">
        <v>45145.753472222226</v>
      </c>
      <c r="C333" t="s">
        <v>38</v>
      </c>
      <c r="D333" t="s">
        <v>34</v>
      </c>
      <c r="E333" t="str">
        <f t="shared" si="21"/>
        <v>Boise</v>
      </c>
      <c r="F333" t="str">
        <f t="shared" si="22"/>
        <v>Glacier</v>
      </c>
      <c r="G333" t="str">
        <f t="shared" si="23"/>
        <v>BOI</v>
      </c>
      <c r="H333" t="str">
        <f t="shared" si="24"/>
        <v>GRR</v>
      </c>
    </row>
    <row r="334" spans="1:8" x14ac:dyDescent="0.2">
      <c r="A334" t="s">
        <v>369</v>
      </c>
      <c r="B334" s="7">
        <v>45146.729166666672</v>
      </c>
      <c r="C334" t="s">
        <v>40</v>
      </c>
      <c r="D334" t="s">
        <v>29</v>
      </c>
      <c r="E334" t="str">
        <f t="shared" si="21"/>
        <v>Rocky Mountain</v>
      </c>
      <c r="F334" t="str">
        <f t="shared" si="22"/>
        <v>Ogden</v>
      </c>
      <c r="G334" t="str">
        <f t="shared" si="23"/>
        <v>RMV</v>
      </c>
      <c r="H334" t="str">
        <f t="shared" si="24"/>
        <v>OGD</v>
      </c>
    </row>
    <row r="335" spans="1:8" x14ac:dyDescent="0.2">
      <c r="A335" t="s">
        <v>370</v>
      </c>
      <c r="B335" s="7">
        <v>45146.753472222226</v>
      </c>
      <c r="C335" t="s">
        <v>32</v>
      </c>
      <c r="D335" t="s">
        <v>31</v>
      </c>
      <c r="E335" t="str">
        <f t="shared" si="21"/>
        <v>Billings</v>
      </c>
      <c r="F335" t="str">
        <f t="shared" si="22"/>
        <v>Missoula</v>
      </c>
      <c r="G335" t="str">
        <f t="shared" si="23"/>
        <v>BIL</v>
      </c>
      <c r="H335" t="str">
        <f t="shared" si="24"/>
        <v>MIS</v>
      </c>
    </row>
    <row r="336" spans="1:8" x14ac:dyDescent="0.2">
      <c r="A336" t="s">
        <v>371</v>
      </c>
      <c r="B336" s="7">
        <v>45146.753472222226</v>
      </c>
      <c r="C336" t="s">
        <v>38</v>
      </c>
      <c r="D336" t="s">
        <v>34</v>
      </c>
      <c r="E336" t="str">
        <f t="shared" si="21"/>
        <v>Boise</v>
      </c>
      <c r="F336" t="str">
        <f t="shared" si="22"/>
        <v>Glacier</v>
      </c>
      <c r="G336" t="str">
        <f t="shared" si="23"/>
        <v>BOI</v>
      </c>
      <c r="H336" t="str">
        <f t="shared" si="24"/>
        <v>GRR</v>
      </c>
    </row>
    <row r="337" spans="1:8" x14ac:dyDescent="0.2">
      <c r="A337" t="s">
        <v>372</v>
      </c>
      <c r="B337" s="7">
        <v>45146.753472222226</v>
      </c>
      <c r="C337" t="s">
        <v>28</v>
      </c>
      <c r="D337" t="s">
        <v>41</v>
      </c>
      <c r="E337" t="str">
        <f t="shared" si="21"/>
        <v>Grand Junction</v>
      </c>
      <c r="F337" t="str">
        <f t="shared" si="22"/>
        <v>NoCo</v>
      </c>
      <c r="G337" t="str">
        <f t="shared" si="23"/>
        <v>GJJ</v>
      </c>
      <c r="H337" t="str">
        <f t="shared" si="24"/>
        <v>NoCo</v>
      </c>
    </row>
    <row r="338" spans="1:8" x14ac:dyDescent="0.2">
      <c r="A338" t="s">
        <v>373</v>
      </c>
      <c r="B338" s="7">
        <v>45146.753472222226</v>
      </c>
      <c r="C338" t="s">
        <v>35</v>
      </c>
      <c r="D338" t="s">
        <v>37</v>
      </c>
      <c r="E338" t="str">
        <f t="shared" si="21"/>
        <v>Great Falls</v>
      </c>
      <c r="F338" t="str">
        <f t="shared" si="22"/>
        <v>Idaho Falls</v>
      </c>
      <c r="G338" t="str">
        <f t="shared" si="23"/>
        <v>GFV</v>
      </c>
      <c r="H338" t="str">
        <f t="shared" si="24"/>
        <v>IDF</v>
      </c>
    </row>
    <row r="339" spans="1:8" x14ac:dyDescent="0.2">
      <c r="A339" t="s">
        <v>374</v>
      </c>
      <c r="B339" s="7">
        <v>45147.729166666672</v>
      </c>
      <c r="C339" t="s">
        <v>40</v>
      </c>
      <c r="D339" t="s">
        <v>29</v>
      </c>
      <c r="E339" t="str">
        <f t="shared" si="21"/>
        <v>Rocky Mountain</v>
      </c>
      <c r="F339" t="str">
        <f t="shared" si="22"/>
        <v>Ogden</v>
      </c>
      <c r="G339" t="str">
        <f t="shared" si="23"/>
        <v>RMV</v>
      </c>
      <c r="H339" t="str">
        <f t="shared" si="24"/>
        <v>OGD</v>
      </c>
    </row>
    <row r="340" spans="1:8" x14ac:dyDescent="0.2">
      <c r="A340" t="s">
        <v>375</v>
      </c>
      <c r="B340" s="7">
        <v>45147.753472222226</v>
      </c>
      <c r="C340" t="s">
        <v>32</v>
      </c>
      <c r="D340" t="s">
        <v>31</v>
      </c>
      <c r="E340" t="str">
        <f t="shared" si="21"/>
        <v>Billings</v>
      </c>
      <c r="F340" t="str">
        <f t="shared" si="22"/>
        <v>Missoula</v>
      </c>
      <c r="G340" t="str">
        <f t="shared" si="23"/>
        <v>BIL</v>
      </c>
      <c r="H340" t="str">
        <f t="shared" si="24"/>
        <v>MIS</v>
      </c>
    </row>
    <row r="341" spans="1:8" x14ac:dyDescent="0.2">
      <c r="A341" t="s">
        <v>376</v>
      </c>
      <c r="B341" s="7">
        <v>45147.753472222226</v>
      </c>
      <c r="C341" t="s">
        <v>38</v>
      </c>
      <c r="D341" t="s">
        <v>34</v>
      </c>
      <c r="E341" t="str">
        <f t="shared" si="21"/>
        <v>Boise</v>
      </c>
      <c r="F341" t="str">
        <f t="shared" si="22"/>
        <v>Glacier</v>
      </c>
      <c r="G341" t="str">
        <f t="shared" si="23"/>
        <v>BOI</v>
      </c>
      <c r="H341" t="str">
        <f t="shared" si="24"/>
        <v>GRR</v>
      </c>
    </row>
    <row r="342" spans="1:8" x14ac:dyDescent="0.2">
      <c r="A342" t="s">
        <v>377</v>
      </c>
      <c r="B342" s="7">
        <v>45147.753472222226</v>
      </c>
      <c r="C342" t="s">
        <v>28</v>
      </c>
      <c r="D342" t="s">
        <v>41</v>
      </c>
      <c r="E342" t="str">
        <f t="shared" si="21"/>
        <v>Grand Junction</v>
      </c>
      <c r="F342" t="str">
        <f t="shared" si="22"/>
        <v>NoCo</v>
      </c>
      <c r="G342" t="str">
        <f t="shared" si="23"/>
        <v>GJJ</v>
      </c>
      <c r="H342" t="str">
        <f t="shared" si="24"/>
        <v>NoCo</v>
      </c>
    </row>
    <row r="343" spans="1:8" x14ac:dyDescent="0.2">
      <c r="A343" t="s">
        <v>378</v>
      </c>
      <c r="B343" s="7">
        <v>45147.753472222226</v>
      </c>
      <c r="C343" t="s">
        <v>35</v>
      </c>
      <c r="D343" t="s">
        <v>37</v>
      </c>
      <c r="E343" t="str">
        <f t="shared" si="21"/>
        <v>Great Falls</v>
      </c>
      <c r="F343" t="str">
        <f t="shared" si="22"/>
        <v>Idaho Falls</v>
      </c>
      <c r="G343" t="str">
        <f t="shared" si="23"/>
        <v>GFV</v>
      </c>
      <c r="H343" t="str">
        <f t="shared" si="24"/>
        <v>IDF</v>
      </c>
    </row>
    <row r="344" spans="1:8" x14ac:dyDescent="0.2">
      <c r="A344" t="s">
        <v>379</v>
      </c>
      <c r="B344" s="7">
        <v>45148.586805555555</v>
      </c>
      <c r="C344" t="s">
        <v>32</v>
      </c>
      <c r="D344" t="s">
        <v>31</v>
      </c>
      <c r="E344" t="str">
        <f t="shared" si="21"/>
        <v>Billings</v>
      </c>
      <c r="F344" t="str">
        <f t="shared" si="22"/>
        <v>Missoula</v>
      </c>
      <c r="G344" t="str">
        <f t="shared" si="23"/>
        <v>BIL</v>
      </c>
      <c r="H344" t="str">
        <f t="shared" si="24"/>
        <v>MIS</v>
      </c>
    </row>
    <row r="345" spans="1:8" x14ac:dyDescent="0.2">
      <c r="A345" t="s">
        <v>380</v>
      </c>
      <c r="B345" s="7">
        <v>45148.753472222226</v>
      </c>
      <c r="C345" t="s">
        <v>28</v>
      </c>
      <c r="D345" t="s">
        <v>41</v>
      </c>
      <c r="E345" t="str">
        <f t="shared" si="21"/>
        <v>Grand Junction</v>
      </c>
      <c r="F345" t="str">
        <f t="shared" si="22"/>
        <v>NoCo</v>
      </c>
      <c r="G345" t="str">
        <f t="shared" si="23"/>
        <v>GJJ</v>
      </c>
      <c r="H345" t="str">
        <f t="shared" si="24"/>
        <v>NoCo</v>
      </c>
    </row>
    <row r="346" spans="1:8" x14ac:dyDescent="0.2">
      <c r="A346" t="s">
        <v>381</v>
      </c>
      <c r="B346" s="7">
        <v>45148.753472222226</v>
      </c>
      <c r="C346" t="s">
        <v>35</v>
      </c>
      <c r="D346" t="s">
        <v>37</v>
      </c>
      <c r="E346" t="str">
        <f t="shared" si="21"/>
        <v>Great Falls</v>
      </c>
      <c r="F346" t="str">
        <f t="shared" si="22"/>
        <v>Idaho Falls</v>
      </c>
      <c r="G346" t="str">
        <f t="shared" si="23"/>
        <v>GFV</v>
      </c>
      <c r="H346" t="str">
        <f t="shared" si="24"/>
        <v>IDF</v>
      </c>
    </row>
    <row r="347" spans="1:8" x14ac:dyDescent="0.2">
      <c r="A347" t="s">
        <v>382</v>
      </c>
      <c r="B347" s="7">
        <v>45149.732638888891</v>
      </c>
      <c r="C347" t="s">
        <v>37</v>
      </c>
      <c r="D347" t="s">
        <v>28</v>
      </c>
      <c r="E347" t="str">
        <f t="shared" si="21"/>
        <v>Idaho Falls</v>
      </c>
      <c r="F347" t="str">
        <f t="shared" si="22"/>
        <v>Grand Junction</v>
      </c>
      <c r="G347" t="str">
        <f t="shared" si="23"/>
        <v>IDF</v>
      </c>
      <c r="H347" t="str">
        <f t="shared" si="24"/>
        <v>GJJ</v>
      </c>
    </row>
    <row r="348" spans="1:8" x14ac:dyDescent="0.2">
      <c r="A348" t="s">
        <v>383</v>
      </c>
      <c r="B348" s="7">
        <v>45149.732638888891</v>
      </c>
      <c r="C348" t="s">
        <v>41</v>
      </c>
      <c r="D348" t="s">
        <v>32</v>
      </c>
      <c r="E348" t="str">
        <f t="shared" si="21"/>
        <v>NoCo</v>
      </c>
      <c r="F348" t="str">
        <f t="shared" si="22"/>
        <v>Billings</v>
      </c>
      <c r="G348" t="str">
        <f t="shared" si="23"/>
        <v>NoCo</v>
      </c>
      <c r="H348" t="str">
        <f t="shared" si="24"/>
        <v>BIL</v>
      </c>
    </row>
    <row r="349" spans="1:8" x14ac:dyDescent="0.2">
      <c r="A349" t="s">
        <v>384</v>
      </c>
      <c r="B349" s="7">
        <v>45149.732638888891</v>
      </c>
      <c r="C349" t="s">
        <v>29</v>
      </c>
      <c r="D349" t="s">
        <v>40</v>
      </c>
      <c r="E349" t="str">
        <f t="shared" si="21"/>
        <v>Ogden</v>
      </c>
      <c r="F349" t="str">
        <f t="shared" si="22"/>
        <v>Rocky Mountain</v>
      </c>
      <c r="G349" t="str">
        <f t="shared" si="23"/>
        <v>OGD</v>
      </c>
      <c r="H349" t="str">
        <f t="shared" si="24"/>
        <v>RMV</v>
      </c>
    </row>
    <row r="350" spans="1:8" x14ac:dyDescent="0.2">
      <c r="A350" t="s">
        <v>385</v>
      </c>
      <c r="B350" s="7">
        <v>45149.75</v>
      </c>
      <c r="C350" t="s">
        <v>31</v>
      </c>
      <c r="D350" t="s">
        <v>35</v>
      </c>
      <c r="E350" t="str">
        <f t="shared" si="21"/>
        <v>Missoula</v>
      </c>
      <c r="F350" t="str">
        <f t="shared" si="22"/>
        <v>Great Falls</v>
      </c>
      <c r="G350" t="str">
        <f t="shared" si="23"/>
        <v>MIS</v>
      </c>
      <c r="H350" t="str">
        <f t="shared" si="24"/>
        <v>GFV</v>
      </c>
    </row>
    <row r="351" spans="1:8" x14ac:dyDescent="0.2">
      <c r="A351" t="s">
        <v>386</v>
      </c>
      <c r="B351" s="7">
        <v>45149.753472222226</v>
      </c>
      <c r="C351" t="s">
        <v>34</v>
      </c>
      <c r="D351" t="s">
        <v>38</v>
      </c>
      <c r="E351" t="str">
        <f t="shared" si="21"/>
        <v>Glacier</v>
      </c>
      <c r="F351" t="str">
        <f t="shared" si="22"/>
        <v>Boise</v>
      </c>
      <c r="G351" t="str">
        <f t="shared" si="23"/>
        <v>GRR</v>
      </c>
      <c r="H351" t="str">
        <f t="shared" si="24"/>
        <v>BOI</v>
      </c>
    </row>
    <row r="352" spans="1:8" x14ac:dyDescent="0.2">
      <c r="A352" t="s">
        <v>387</v>
      </c>
      <c r="B352" s="7">
        <v>45150.732638888891</v>
      </c>
      <c r="C352" t="s">
        <v>37</v>
      </c>
      <c r="D352" t="s">
        <v>28</v>
      </c>
      <c r="E352" t="str">
        <f t="shared" si="21"/>
        <v>Idaho Falls</v>
      </c>
      <c r="F352" t="str">
        <f t="shared" si="22"/>
        <v>Grand Junction</v>
      </c>
      <c r="G352" t="str">
        <f t="shared" si="23"/>
        <v>IDF</v>
      </c>
      <c r="H352" t="str">
        <f t="shared" si="24"/>
        <v>GJJ</v>
      </c>
    </row>
    <row r="353" spans="1:8" x14ac:dyDescent="0.2">
      <c r="A353" t="s">
        <v>388</v>
      </c>
      <c r="B353" s="7">
        <v>45150.732638888891</v>
      </c>
      <c r="C353" t="s">
        <v>41</v>
      </c>
      <c r="D353" t="s">
        <v>32</v>
      </c>
      <c r="E353" t="str">
        <f t="shared" si="21"/>
        <v>NoCo</v>
      </c>
      <c r="F353" t="str">
        <f t="shared" si="22"/>
        <v>Billings</v>
      </c>
      <c r="G353" t="str">
        <f t="shared" si="23"/>
        <v>NoCo</v>
      </c>
      <c r="H353" t="str">
        <f t="shared" si="24"/>
        <v>BIL</v>
      </c>
    </row>
    <row r="354" spans="1:8" x14ac:dyDescent="0.2">
      <c r="A354" t="s">
        <v>389</v>
      </c>
      <c r="B354" s="7">
        <v>45150.732638888891</v>
      </c>
      <c r="C354" t="s">
        <v>29</v>
      </c>
      <c r="D354" t="s">
        <v>40</v>
      </c>
      <c r="E354" t="str">
        <f t="shared" si="21"/>
        <v>Ogden</v>
      </c>
      <c r="F354" t="str">
        <f t="shared" si="22"/>
        <v>Rocky Mountain</v>
      </c>
      <c r="G354" t="str">
        <f t="shared" si="23"/>
        <v>OGD</v>
      </c>
      <c r="H354" t="str">
        <f t="shared" si="24"/>
        <v>RMV</v>
      </c>
    </row>
    <row r="355" spans="1:8" x14ac:dyDescent="0.2">
      <c r="A355" t="s">
        <v>390</v>
      </c>
      <c r="B355" s="7">
        <v>45150.75</v>
      </c>
      <c r="C355" t="s">
        <v>31</v>
      </c>
      <c r="D355" t="s">
        <v>35</v>
      </c>
      <c r="E355" t="str">
        <f t="shared" si="21"/>
        <v>Missoula</v>
      </c>
      <c r="F355" t="str">
        <f t="shared" si="22"/>
        <v>Great Falls</v>
      </c>
      <c r="G355" t="str">
        <f t="shared" si="23"/>
        <v>MIS</v>
      </c>
      <c r="H355" t="str">
        <f t="shared" si="24"/>
        <v>GFV</v>
      </c>
    </row>
    <row r="356" spans="1:8" x14ac:dyDescent="0.2">
      <c r="A356" t="s">
        <v>391</v>
      </c>
      <c r="B356" s="7">
        <v>45150.753472222226</v>
      </c>
      <c r="C356" t="s">
        <v>34</v>
      </c>
      <c r="D356" t="s">
        <v>38</v>
      </c>
      <c r="E356" t="str">
        <f t="shared" si="21"/>
        <v>Glacier</v>
      </c>
      <c r="F356" t="str">
        <f t="shared" si="22"/>
        <v>Boise</v>
      </c>
      <c r="G356" t="str">
        <f t="shared" si="23"/>
        <v>GRR</v>
      </c>
      <c r="H356" t="str">
        <f t="shared" si="24"/>
        <v>BOI</v>
      </c>
    </row>
    <row r="357" spans="1:8" x14ac:dyDescent="0.2">
      <c r="A357" t="s">
        <v>392</v>
      </c>
      <c r="B357" s="7">
        <v>45151.4375</v>
      </c>
      <c r="C357" t="s">
        <v>31</v>
      </c>
      <c r="D357" t="s">
        <v>35</v>
      </c>
      <c r="E357" t="str">
        <f t="shared" si="21"/>
        <v>Missoula</v>
      </c>
      <c r="F357" t="str">
        <f t="shared" si="22"/>
        <v>Great Falls</v>
      </c>
      <c r="G357" t="str">
        <f t="shared" si="23"/>
        <v>MIS</v>
      </c>
      <c r="H357" t="str">
        <f t="shared" si="24"/>
        <v>GFV</v>
      </c>
    </row>
    <row r="358" spans="1:8" x14ac:dyDescent="0.2">
      <c r="A358" t="s">
        <v>393</v>
      </c>
      <c r="B358" s="7">
        <v>45151.503472222226</v>
      </c>
      <c r="C358" t="s">
        <v>34</v>
      </c>
      <c r="D358" t="s">
        <v>38</v>
      </c>
      <c r="E358" t="str">
        <f t="shared" si="21"/>
        <v>Glacier</v>
      </c>
      <c r="F358" t="str">
        <f t="shared" si="22"/>
        <v>Boise</v>
      </c>
      <c r="G358" t="str">
        <f t="shared" si="23"/>
        <v>GRR</v>
      </c>
      <c r="H358" t="str">
        <f t="shared" si="24"/>
        <v>BOI</v>
      </c>
    </row>
    <row r="359" spans="1:8" x14ac:dyDescent="0.2">
      <c r="A359" t="s">
        <v>394</v>
      </c>
      <c r="B359" s="7">
        <v>45151.503472222226</v>
      </c>
      <c r="C359" t="s">
        <v>41</v>
      </c>
      <c r="D359" t="s">
        <v>32</v>
      </c>
      <c r="E359" t="str">
        <f t="shared" si="21"/>
        <v>NoCo</v>
      </c>
      <c r="F359" t="str">
        <f t="shared" si="22"/>
        <v>Billings</v>
      </c>
      <c r="G359" t="str">
        <f t="shared" si="23"/>
        <v>NoCo</v>
      </c>
      <c r="H359" t="str">
        <f t="shared" si="24"/>
        <v>BIL</v>
      </c>
    </row>
    <row r="360" spans="1:8" x14ac:dyDescent="0.2">
      <c r="A360" t="s">
        <v>395</v>
      </c>
      <c r="B360" s="7">
        <v>45151.503472222226</v>
      </c>
      <c r="C360" t="s">
        <v>29</v>
      </c>
      <c r="D360" t="s">
        <v>40</v>
      </c>
      <c r="E360" t="str">
        <f t="shared" si="21"/>
        <v>Ogden</v>
      </c>
      <c r="F360" t="str">
        <f t="shared" si="22"/>
        <v>Rocky Mountain</v>
      </c>
      <c r="G360" t="str">
        <f t="shared" si="23"/>
        <v>OGD</v>
      </c>
      <c r="H360" t="str">
        <f t="shared" si="24"/>
        <v>RMV</v>
      </c>
    </row>
    <row r="361" spans="1:8" x14ac:dyDescent="0.2">
      <c r="A361" t="s">
        <v>396</v>
      </c>
      <c r="B361" s="7">
        <v>45151.545138888891</v>
      </c>
      <c r="C361" t="s">
        <v>37</v>
      </c>
      <c r="D361" t="s">
        <v>28</v>
      </c>
      <c r="E361" t="str">
        <f t="shared" si="21"/>
        <v>Idaho Falls</v>
      </c>
      <c r="F361" t="str">
        <f t="shared" si="22"/>
        <v>Grand Junction</v>
      </c>
      <c r="G361" t="str">
        <f t="shared" si="23"/>
        <v>IDF</v>
      </c>
      <c r="H361" t="str">
        <f t="shared" si="24"/>
        <v>GJJ</v>
      </c>
    </row>
    <row r="362" spans="1:8" x14ac:dyDescent="0.2">
      <c r="A362" t="s">
        <v>397</v>
      </c>
      <c r="B362" s="7">
        <v>45152.732638888891</v>
      </c>
      <c r="C362" t="s">
        <v>40</v>
      </c>
      <c r="D362" t="s">
        <v>28</v>
      </c>
      <c r="E362" t="str">
        <f t="shared" si="21"/>
        <v>Rocky Mountain</v>
      </c>
      <c r="F362" t="str">
        <f t="shared" si="22"/>
        <v>Grand Junction</v>
      </c>
      <c r="G362" t="str">
        <f t="shared" si="23"/>
        <v>RMV</v>
      </c>
      <c r="H362" t="str">
        <f t="shared" si="24"/>
        <v>GJJ</v>
      </c>
    </row>
    <row r="363" spans="1:8" x14ac:dyDescent="0.2">
      <c r="A363" t="s">
        <v>398</v>
      </c>
      <c r="B363" s="7">
        <v>45152.753472222226</v>
      </c>
      <c r="C363" t="s">
        <v>29</v>
      </c>
      <c r="D363" t="s">
        <v>41</v>
      </c>
      <c r="E363" t="str">
        <f t="shared" si="21"/>
        <v>Ogden</v>
      </c>
      <c r="F363" t="str">
        <f t="shared" si="22"/>
        <v>NoCo</v>
      </c>
      <c r="G363" t="str">
        <f t="shared" si="23"/>
        <v>OGD</v>
      </c>
      <c r="H363" t="str">
        <f t="shared" si="24"/>
        <v>NoCo</v>
      </c>
    </row>
    <row r="364" spans="1:8" x14ac:dyDescent="0.2">
      <c r="A364" t="s">
        <v>399</v>
      </c>
      <c r="B364" s="7">
        <v>45153.732638888891</v>
      </c>
      <c r="C364" t="s">
        <v>40</v>
      </c>
      <c r="D364" t="s">
        <v>28</v>
      </c>
      <c r="E364" t="str">
        <f t="shared" si="21"/>
        <v>Rocky Mountain</v>
      </c>
      <c r="F364" t="str">
        <f t="shared" si="22"/>
        <v>Grand Junction</v>
      </c>
      <c r="G364" t="str">
        <f t="shared" si="23"/>
        <v>RMV</v>
      </c>
      <c r="H364" t="str">
        <f t="shared" si="24"/>
        <v>GJJ</v>
      </c>
    </row>
    <row r="365" spans="1:8" x14ac:dyDescent="0.2">
      <c r="A365" t="s">
        <v>400</v>
      </c>
      <c r="B365" s="7">
        <v>45153.75</v>
      </c>
      <c r="C365" t="s">
        <v>32</v>
      </c>
      <c r="D365" t="s">
        <v>35</v>
      </c>
      <c r="E365" t="str">
        <f t="shared" si="21"/>
        <v>Billings</v>
      </c>
      <c r="F365" t="str">
        <f t="shared" si="22"/>
        <v>Great Falls</v>
      </c>
      <c r="G365" t="str">
        <f t="shared" si="23"/>
        <v>BIL</v>
      </c>
      <c r="H365" t="str">
        <f t="shared" si="24"/>
        <v>GFV</v>
      </c>
    </row>
    <row r="366" spans="1:8" x14ac:dyDescent="0.2">
      <c r="A366" t="s">
        <v>401</v>
      </c>
      <c r="B366" s="7">
        <v>45153.753472222226</v>
      </c>
      <c r="C366" t="s">
        <v>38</v>
      </c>
      <c r="D366" t="s">
        <v>31</v>
      </c>
      <c r="E366" t="str">
        <f t="shared" si="21"/>
        <v>Boise</v>
      </c>
      <c r="F366" t="str">
        <f t="shared" si="22"/>
        <v>Missoula</v>
      </c>
      <c r="G366" t="str">
        <f t="shared" si="23"/>
        <v>BOI</v>
      </c>
      <c r="H366" t="str">
        <f t="shared" si="24"/>
        <v>MIS</v>
      </c>
    </row>
    <row r="367" spans="1:8" x14ac:dyDescent="0.2">
      <c r="A367" t="s">
        <v>402</v>
      </c>
      <c r="B367" s="7">
        <v>45153.753472222226</v>
      </c>
      <c r="C367" t="s">
        <v>34</v>
      </c>
      <c r="D367" t="s">
        <v>37</v>
      </c>
      <c r="E367" t="str">
        <f t="shared" si="21"/>
        <v>Glacier</v>
      </c>
      <c r="F367" t="str">
        <f t="shared" si="22"/>
        <v>Idaho Falls</v>
      </c>
      <c r="G367" t="str">
        <f t="shared" si="23"/>
        <v>GRR</v>
      </c>
      <c r="H367" t="str">
        <f t="shared" si="24"/>
        <v>IDF</v>
      </c>
    </row>
    <row r="368" spans="1:8" x14ac:dyDescent="0.2">
      <c r="A368" t="s">
        <v>403</v>
      </c>
      <c r="B368" s="7">
        <v>45153.753472222226</v>
      </c>
      <c r="C368" t="s">
        <v>29</v>
      </c>
      <c r="D368" t="s">
        <v>41</v>
      </c>
      <c r="E368" t="str">
        <f t="shared" si="21"/>
        <v>Ogden</v>
      </c>
      <c r="F368" t="str">
        <f t="shared" si="22"/>
        <v>NoCo</v>
      </c>
      <c r="G368" t="str">
        <f t="shared" si="23"/>
        <v>OGD</v>
      </c>
      <c r="H368" t="str">
        <f t="shared" si="24"/>
        <v>NoCo</v>
      </c>
    </row>
    <row r="369" spans="1:8" x14ac:dyDescent="0.2">
      <c r="A369" t="s">
        <v>404</v>
      </c>
      <c r="B369" s="7">
        <v>45154.732638888891</v>
      </c>
      <c r="C369" t="s">
        <v>40</v>
      </c>
      <c r="D369" t="s">
        <v>28</v>
      </c>
      <c r="E369" t="str">
        <f t="shared" si="21"/>
        <v>Rocky Mountain</v>
      </c>
      <c r="F369" t="str">
        <f t="shared" si="22"/>
        <v>Grand Junction</v>
      </c>
      <c r="G369" t="str">
        <f t="shared" si="23"/>
        <v>RMV</v>
      </c>
      <c r="H369" t="str">
        <f t="shared" si="24"/>
        <v>GJJ</v>
      </c>
    </row>
    <row r="370" spans="1:8" x14ac:dyDescent="0.2">
      <c r="A370" t="s">
        <v>405</v>
      </c>
      <c r="B370" s="7">
        <v>45154.75</v>
      </c>
      <c r="C370" t="s">
        <v>32</v>
      </c>
      <c r="D370" t="s">
        <v>35</v>
      </c>
      <c r="E370" t="str">
        <f t="shared" si="21"/>
        <v>Billings</v>
      </c>
      <c r="F370" t="str">
        <f t="shared" si="22"/>
        <v>Great Falls</v>
      </c>
      <c r="G370" t="str">
        <f t="shared" si="23"/>
        <v>BIL</v>
      </c>
      <c r="H370" t="str">
        <f t="shared" si="24"/>
        <v>GFV</v>
      </c>
    </row>
    <row r="371" spans="1:8" x14ac:dyDescent="0.2">
      <c r="A371" t="s">
        <v>406</v>
      </c>
      <c r="B371" s="7">
        <v>45154.753472222226</v>
      </c>
      <c r="C371" t="s">
        <v>38</v>
      </c>
      <c r="D371" t="s">
        <v>31</v>
      </c>
      <c r="E371" t="str">
        <f t="shared" si="21"/>
        <v>Boise</v>
      </c>
      <c r="F371" t="str">
        <f t="shared" si="22"/>
        <v>Missoula</v>
      </c>
      <c r="G371" t="str">
        <f t="shared" si="23"/>
        <v>BOI</v>
      </c>
      <c r="H371" t="str">
        <f t="shared" si="24"/>
        <v>MIS</v>
      </c>
    </row>
    <row r="372" spans="1:8" x14ac:dyDescent="0.2">
      <c r="A372" t="s">
        <v>407</v>
      </c>
      <c r="B372" s="7">
        <v>45154.753472222226</v>
      </c>
      <c r="C372" t="s">
        <v>34</v>
      </c>
      <c r="D372" t="s">
        <v>37</v>
      </c>
      <c r="E372" t="str">
        <f t="shared" si="21"/>
        <v>Glacier</v>
      </c>
      <c r="F372" t="str">
        <f t="shared" si="22"/>
        <v>Idaho Falls</v>
      </c>
      <c r="G372" t="str">
        <f t="shared" si="23"/>
        <v>GRR</v>
      </c>
      <c r="H372" t="str">
        <f t="shared" si="24"/>
        <v>IDF</v>
      </c>
    </row>
    <row r="373" spans="1:8" x14ac:dyDescent="0.2">
      <c r="A373" t="s">
        <v>408</v>
      </c>
      <c r="B373" s="7">
        <v>45154.753472222226</v>
      </c>
      <c r="C373" t="s">
        <v>29</v>
      </c>
      <c r="D373" t="s">
        <v>41</v>
      </c>
      <c r="E373" t="str">
        <f t="shared" si="21"/>
        <v>Ogden</v>
      </c>
      <c r="F373" t="str">
        <f t="shared" si="22"/>
        <v>NoCo</v>
      </c>
      <c r="G373" t="str">
        <f t="shared" si="23"/>
        <v>OGD</v>
      </c>
      <c r="H373" t="str">
        <f t="shared" si="24"/>
        <v>NoCo</v>
      </c>
    </row>
    <row r="374" spans="1:8" x14ac:dyDescent="0.2">
      <c r="A374" t="s">
        <v>409</v>
      </c>
      <c r="B374" s="7">
        <v>45155.75</v>
      </c>
      <c r="C374" t="s">
        <v>32</v>
      </c>
      <c r="D374" t="s">
        <v>35</v>
      </c>
      <c r="E374" t="str">
        <f t="shared" si="21"/>
        <v>Billings</v>
      </c>
      <c r="F374" t="str">
        <f t="shared" si="22"/>
        <v>Great Falls</v>
      </c>
      <c r="G374" t="str">
        <f t="shared" si="23"/>
        <v>BIL</v>
      </c>
      <c r="H374" t="str">
        <f t="shared" si="24"/>
        <v>GFV</v>
      </c>
    </row>
    <row r="375" spans="1:8" x14ac:dyDescent="0.2">
      <c r="A375" t="s">
        <v>410</v>
      </c>
      <c r="B375" s="7">
        <v>45155.753472222226</v>
      </c>
      <c r="C375" t="s">
        <v>38</v>
      </c>
      <c r="D375" t="s">
        <v>31</v>
      </c>
      <c r="E375" t="str">
        <f t="shared" si="21"/>
        <v>Boise</v>
      </c>
      <c r="F375" t="str">
        <f t="shared" si="22"/>
        <v>Missoula</v>
      </c>
      <c r="G375" t="str">
        <f t="shared" si="23"/>
        <v>BOI</v>
      </c>
      <c r="H375" t="str">
        <f t="shared" si="24"/>
        <v>MIS</v>
      </c>
    </row>
    <row r="376" spans="1:8" x14ac:dyDescent="0.2">
      <c r="A376" t="s">
        <v>411</v>
      </c>
      <c r="B376" s="7">
        <v>45155.753472222226</v>
      </c>
      <c r="C376" t="s">
        <v>34</v>
      </c>
      <c r="D376" t="s">
        <v>37</v>
      </c>
      <c r="E376" t="str">
        <f t="shared" si="21"/>
        <v>Glacier</v>
      </c>
      <c r="F376" t="str">
        <f t="shared" si="22"/>
        <v>Idaho Falls</v>
      </c>
      <c r="G376" t="str">
        <f t="shared" si="23"/>
        <v>GRR</v>
      </c>
      <c r="H376" t="str">
        <f t="shared" si="24"/>
        <v>IDF</v>
      </c>
    </row>
    <row r="377" spans="1:8" x14ac:dyDescent="0.2">
      <c r="A377" t="s">
        <v>412</v>
      </c>
      <c r="B377" s="7">
        <v>45156.729166666672</v>
      </c>
      <c r="C377" t="s">
        <v>41</v>
      </c>
      <c r="D377" t="s">
        <v>29</v>
      </c>
      <c r="E377" t="str">
        <f t="shared" si="21"/>
        <v>NoCo</v>
      </c>
      <c r="F377" t="str">
        <f t="shared" si="22"/>
        <v>Ogden</v>
      </c>
      <c r="G377" t="str">
        <f t="shared" si="23"/>
        <v>NoCo</v>
      </c>
      <c r="H377" t="str">
        <f t="shared" si="24"/>
        <v>OGD</v>
      </c>
    </row>
    <row r="378" spans="1:8" x14ac:dyDescent="0.2">
      <c r="A378" t="s">
        <v>413</v>
      </c>
      <c r="B378" s="7">
        <v>45156.732638888891</v>
      </c>
      <c r="C378" t="s">
        <v>28</v>
      </c>
      <c r="D378" t="s">
        <v>40</v>
      </c>
      <c r="E378" t="str">
        <f t="shared" si="21"/>
        <v>Grand Junction</v>
      </c>
      <c r="F378" t="str">
        <f t="shared" si="22"/>
        <v>Rocky Mountain</v>
      </c>
      <c r="G378" t="str">
        <f t="shared" si="23"/>
        <v>GJJ</v>
      </c>
      <c r="H378" t="str">
        <f t="shared" si="24"/>
        <v>RMV</v>
      </c>
    </row>
    <row r="379" spans="1:8" x14ac:dyDescent="0.2">
      <c r="A379" t="s">
        <v>414</v>
      </c>
      <c r="B379" s="7">
        <v>45156.732638888891</v>
      </c>
      <c r="C379" t="s">
        <v>35</v>
      </c>
      <c r="D379" t="s">
        <v>32</v>
      </c>
      <c r="E379" t="str">
        <f t="shared" si="21"/>
        <v>Great Falls</v>
      </c>
      <c r="F379" t="str">
        <f t="shared" si="22"/>
        <v>Billings</v>
      </c>
      <c r="G379" t="str">
        <f t="shared" si="23"/>
        <v>GFV</v>
      </c>
      <c r="H379" t="str">
        <f t="shared" si="24"/>
        <v>BIL</v>
      </c>
    </row>
    <row r="380" spans="1:8" x14ac:dyDescent="0.2">
      <c r="A380" t="s">
        <v>415</v>
      </c>
      <c r="B380" s="7">
        <v>45156.753472222226</v>
      </c>
      <c r="C380" t="s">
        <v>38</v>
      </c>
      <c r="D380" t="s">
        <v>31</v>
      </c>
      <c r="E380" t="str">
        <f t="shared" si="21"/>
        <v>Boise</v>
      </c>
      <c r="F380" t="str">
        <f t="shared" si="22"/>
        <v>Missoula</v>
      </c>
      <c r="G380" t="str">
        <f t="shared" si="23"/>
        <v>BOI</v>
      </c>
      <c r="H380" t="str">
        <f t="shared" si="24"/>
        <v>MIS</v>
      </c>
    </row>
    <row r="381" spans="1:8" x14ac:dyDescent="0.2">
      <c r="A381" t="s">
        <v>416</v>
      </c>
      <c r="B381" s="7">
        <v>45156.753472222226</v>
      </c>
      <c r="C381" t="s">
        <v>34</v>
      </c>
      <c r="D381" t="s">
        <v>37</v>
      </c>
      <c r="E381" t="str">
        <f t="shared" si="21"/>
        <v>Glacier</v>
      </c>
      <c r="F381" t="str">
        <f t="shared" si="22"/>
        <v>Idaho Falls</v>
      </c>
      <c r="G381" t="str">
        <f t="shared" si="23"/>
        <v>GRR</v>
      </c>
      <c r="H381" t="str">
        <f t="shared" si="24"/>
        <v>IDF</v>
      </c>
    </row>
    <row r="382" spans="1:8" x14ac:dyDescent="0.2">
      <c r="A382" t="s">
        <v>417</v>
      </c>
      <c r="B382" s="7">
        <v>45157.729166666672</v>
      </c>
      <c r="C382" t="s">
        <v>41</v>
      </c>
      <c r="D382" t="s">
        <v>29</v>
      </c>
      <c r="E382" t="str">
        <f t="shared" si="21"/>
        <v>NoCo</v>
      </c>
      <c r="F382" t="str">
        <f t="shared" si="22"/>
        <v>Ogden</v>
      </c>
      <c r="G382" t="str">
        <f t="shared" si="23"/>
        <v>NoCo</v>
      </c>
      <c r="H382" t="str">
        <f t="shared" si="24"/>
        <v>OGD</v>
      </c>
    </row>
    <row r="383" spans="1:8" x14ac:dyDescent="0.2">
      <c r="A383" t="s">
        <v>418</v>
      </c>
      <c r="B383" s="7">
        <v>45157.732638888891</v>
      </c>
      <c r="C383" t="s">
        <v>28</v>
      </c>
      <c r="D383" t="s">
        <v>40</v>
      </c>
      <c r="E383" t="str">
        <f t="shared" si="21"/>
        <v>Grand Junction</v>
      </c>
      <c r="F383" t="str">
        <f t="shared" si="22"/>
        <v>Rocky Mountain</v>
      </c>
      <c r="G383" t="str">
        <f t="shared" si="23"/>
        <v>GJJ</v>
      </c>
      <c r="H383" t="str">
        <f t="shared" si="24"/>
        <v>RMV</v>
      </c>
    </row>
    <row r="384" spans="1:8" x14ac:dyDescent="0.2">
      <c r="A384" t="s">
        <v>419</v>
      </c>
      <c r="B384" s="7">
        <v>45157.732638888891</v>
      </c>
      <c r="C384" t="s">
        <v>35</v>
      </c>
      <c r="D384" t="s">
        <v>32</v>
      </c>
      <c r="E384" t="str">
        <f t="shared" si="21"/>
        <v>Great Falls</v>
      </c>
      <c r="F384" t="str">
        <f t="shared" si="22"/>
        <v>Billings</v>
      </c>
      <c r="G384" t="str">
        <f t="shared" si="23"/>
        <v>GFV</v>
      </c>
      <c r="H384" t="str">
        <f t="shared" si="24"/>
        <v>BIL</v>
      </c>
    </row>
    <row r="385" spans="1:8" x14ac:dyDescent="0.2">
      <c r="A385" t="s">
        <v>420</v>
      </c>
      <c r="B385" s="7">
        <v>45157.753472222226</v>
      </c>
      <c r="C385" t="s">
        <v>38</v>
      </c>
      <c r="D385" t="s">
        <v>31</v>
      </c>
      <c r="E385" t="str">
        <f t="shared" si="21"/>
        <v>Boise</v>
      </c>
      <c r="F385" t="str">
        <f t="shared" si="22"/>
        <v>Missoula</v>
      </c>
      <c r="G385" t="str">
        <f t="shared" si="23"/>
        <v>BOI</v>
      </c>
      <c r="H385" t="str">
        <f t="shared" si="24"/>
        <v>MIS</v>
      </c>
    </row>
    <row r="386" spans="1:8" x14ac:dyDescent="0.2">
      <c r="A386" t="s">
        <v>421</v>
      </c>
      <c r="B386" s="7">
        <v>45157.753472222226</v>
      </c>
      <c r="C386" t="s">
        <v>34</v>
      </c>
      <c r="D386" t="s">
        <v>37</v>
      </c>
      <c r="E386" t="str">
        <f t="shared" ref="E386:E449" si="25">VLOOKUP(C386,$J$1:$L$10,2,FALSE)</f>
        <v>Glacier</v>
      </c>
      <c r="F386" t="str">
        <f t="shared" ref="F386:F449" si="26">VLOOKUP(D386,$J$1:$L$10,2,FALSE)</f>
        <v>Idaho Falls</v>
      </c>
      <c r="G386" t="str">
        <f t="shared" ref="G386:G449" si="27">VLOOKUP(C386,$J$1:$L$10,3,FALSE)</f>
        <v>GRR</v>
      </c>
      <c r="H386" t="str">
        <f t="shared" ref="H386:H449" si="28">VLOOKUP(D386,$J$1:$L$10,3,FALSE)</f>
        <v>IDF</v>
      </c>
    </row>
    <row r="387" spans="1:8" x14ac:dyDescent="0.2">
      <c r="A387" t="s">
        <v>422</v>
      </c>
      <c r="B387" s="7">
        <v>45158.503472222226</v>
      </c>
      <c r="C387" t="s">
        <v>28</v>
      </c>
      <c r="D387" t="s">
        <v>40</v>
      </c>
      <c r="E387" t="str">
        <f t="shared" si="25"/>
        <v>Grand Junction</v>
      </c>
      <c r="F387" t="str">
        <f t="shared" si="26"/>
        <v>Rocky Mountain</v>
      </c>
      <c r="G387" t="str">
        <f t="shared" si="27"/>
        <v>GJJ</v>
      </c>
      <c r="H387" t="str">
        <f t="shared" si="28"/>
        <v>RMV</v>
      </c>
    </row>
    <row r="388" spans="1:8" x14ac:dyDescent="0.2">
      <c r="A388" t="s">
        <v>423</v>
      </c>
      <c r="B388" s="7">
        <v>45158.503472222226</v>
      </c>
      <c r="C388" t="s">
        <v>35</v>
      </c>
      <c r="D388" t="s">
        <v>32</v>
      </c>
      <c r="E388" t="str">
        <f t="shared" si="25"/>
        <v>Great Falls</v>
      </c>
      <c r="F388" t="str">
        <f t="shared" si="26"/>
        <v>Billings</v>
      </c>
      <c r="G388" t="str">
        <f t="shared" si="27"/>
        <v>GFV</v>
      </c>
      <c r="H388" t="str">
        <f t="shared" si="28"/>
        <v>BIL</v>
      </c>
    </row>
    <row r="389" spans="1:8" x14ac:dyDescent="0.2">
      <c r="A389" t="s">
        <v>424</v>
      </c>
      <c r="B389" s="7">
        <v>45158.541666666672</v>
      </c>
      <c r="C389" t="s">
        <v>34</v>
      </c>
      <c r="D389" t="s">
        <v>37</v>
      </c>
      <c r="E389" t="str">
        <f t="shared" si="25"/>
        <v>Glacier</v>
      </c>
      <c r="F389" t="str">
        <f t="shared" si="26"/>
        <v>Idaho Falls</v>
      </c>
      <c r="G389" t="str">
        <f t="shared" si="27"/>
        <v>GRR</v>
      </c>
      <c r="H389" t="str">
        <f t="shared" si="28"/>
        <v>IDF</v>
      </c>
    </row>
    <row r="390" spans="1:8" x14ac:dyDescent="0.2">
      <c r="A390" t="s">
        <v>425</v>
      </c>
      <c r="B390" s="7">
        <v>45158.545138888891</v>
      </c>
      <c r="C390" t="s">
        <v>38</v>
      </c>
      <c r="D390" t="s">
        <v>31</v>
      </c>
      <c r="E390" t="str">
        <f t="shared" si="25"/>
        <v>Boise</v>
      </c>
      <c r="F390" t="str">
        <f t="shared" si="26"/>
        <v>Missoula</v>
      </c>
      <c r="G390" t="str">
        <f t="shared" si="27"/>
        <v>BOI</v>
      </c>
      <c r="H390" t="str">
        <f t="shared" si="28"/>
        <v>MIS</v>
      </c>
    </row>
    <row r="391" spans="1:8" x14ac:dyDescent="0.2">
      <c r="A391" t="s">
        <v>426</v>
      </c>
      <c r="B391" s="7">
        <v>45158.729166666672</v>
      </c>
      <c r="C391" t="s">
        <v>41</v>
      </c>
      <c r="D391" t="s">
        <v>29</v>
      </c>
      <c r="E391" t="str">
        <f t="shared" si="25"/>
        <v>NoCo</v>
      </c>
      <c r="F391" t="str">
        <f t="shared" si="26"/>
        <v>Ogden</v>
      </c>
      <c r="G391" t="str">
        <f t="shared" si="27"/>
        <v>NoCo</v>
      </c>
      <c r="H391" t="str">
        <f t="shared" si="28"/>
        <v>OGD</v>
      </c>
    </row>
    <row r="392" spans="1:8" x14ac:dyDescent="0.2">
      <c r="A392" t="s">
        <v>427</v>
      </c>
      <c r="B392" s="7">
        <v>45159.732638888891</v>
      </c>
      <c r="C392" t="s">
        <v>41</v>
      </c>
      <c r="D392" t="s">
        <v>28</v>
      </c>
      <c r="E392" t="str">
        <f t="shared" si="25"/>
        <v>NoCo</v>
      </c>
      <c r="F392" t="str">
        <f t="shared" si="26"/>
        <v>Grand Junction</v>
      </c>
      <c r="G392" t="str">
        <f t="shared" si="27"/>
        <v>NoCo</v>
      </c>
      <c r="H392" t="str">
        <f t="shared" si="28"/>
        <v>GJJ</v>
      </c>
    </row>
    <row r="393" spans="1:8" x14ac:dyDescent="0.2">
      <c r="A393" t="s">
        <v>428</v>
      </c>
      <c r="B393" s="7">
        <v>45160.732638888891</v>
      </c>
      <c r="C393" t="s">
        <v>37</v>
      </c>
      <c r="D393" t="s">
        <v>32</v>
      </c>
      <c r="E393" t="str">
        <f t="shared" si="25"/>
        <v>Idaho Falls</v>
      </c>
      <c r="F393" t="str">
        <f t="shared" si="26"/>
        <v>Billings</v>
      </c>
      <c r="G393" t="str">
        <f t="shared" si="27"/>
        <v>IDF</v>
      </c>
      <c r="H393" t="str">
        <f t="shared" si="28"/>
        <v>BIL</v>
      </c>
    </row>
    <row r="394" spans="1:8" x14ac:dyDescent="0.2">
      <c r="A394" t="s">
        <v>429</v>
      </c>
      <c r="B394" s="7">
        <v>45160.732638888891</v>
      </c>
      <c r="C394" t="s">
        <v>41</v>
      </c>
      <c r="D394" t="s">
        <v>28</v>
      </c>
      <c r="E394" t="str">
        <f t="shared" si="25"/>
        <v>NoCo</v>
      </c>
      <c r="F394" t="str">
        <f t="shared" si="26"/>
        <v>Grand Junction</v>
      </c>
      <c r="G394" t="str">
        <f t="shared" si="27"/>
        <v>NoCo</v>
      </c>
      <c r="H394" t="str">
        <f t="shared" si="28"/>
        <v>GJJ</v>
      </c>
    </row>
    <row r="395" spans="1:8" x14ac:dyDescent="0.2">
      <c r="A395" t="s">
        <v>430</v>
      </c>
      <c r="B395" s="7">
        <v>45160.732638888891</v>
      </c>
      <c r="C395" t="s">
        <v>29</v>
      </c>
      <c r="D395" t="s">
        <v>40</v>
      </c>
      <c r="E395" t="str">
        <f t="shared" si="25"/>
        <v>Ogden</v>
      </c>
      <c r="F395" t="str">
        <f t="shared" si="26"/>
        <v>Rocky Mountain</v>
      </c>
      <c r="G395" t="str">
        <f t="shared" si="27"/>
        <v>OGD</v>
      </c>
      <c r="H395" t="str">
        <f t="shared" si="28"/>
        <v>RMV</v>
      </c>
    </row>
    <row r="396" spans="1:8" x14ac:dyDescent="0.2">
      <c r="A396" t="s">
        <v>431</v>
      </c>
      <c r="B396" s="7">
        <v>45160.75</v>
      </c>
      <c r="C396" t="s">
        <v>38</v>
      </c>
      <c r="D396" t="s">
        <v>35</v>
      </c>
      <c r="E396" t="str">
        <f t="shared" si="25"/>
        <v>Boise</v>
      </c>
      <c r="F396" t="str">
        <f t="shared" si="26"/>
        <v>Great Falls</v>
      </c>
      <c r="G396" t="str">
        <f t="shared" si="27"/>
        <v>BOI</v>
      </c>
      <c r="H396" t="str">
        <f t="shared" si="28"/>
        <v>GFV</v>
      </c>
    </row>
    <row r="397" spans="1:8" x14ac:dyDescent="0.2">
      <c r="A397" t="s">
        <v>432</v>
      </c>
      <c r="B397" s="7">
        <v>45160.753472222226</v>
      </c>
      <c r="C397" t="s">
        <v>31</v>
      </c>
      <c r="D397" t="s">
        <v>34</v>
      </c>
      <c r="E397" t="str">
        <f t="shared" si="25"/>
        <v>Missoula</v>
      </c>
      <c r="F397" t="str">
        <f t="shared" si="26"/>
        <v>Glacier</v>
      </c>
      <c r="G397" t="str">
        <f t="shared" si="27"/>
        <v>MIS</v>
      </c>
      <c r="H397" t="str">
        <f t="shared" si="28"/>
        <v>GRR</v>
      </c>
    </row>
    <row r="398" spans="1:8" x14ac:dyDescent="0.2">
      <c r="A398" t="s">
        <v>433</v>
      </c>
      <c r="B398" s="7">
        <v>45161.732638888891</v>
      </c>
      <c r="C398" t="s">
        <v>37</v>
      </c>
      <c r="D398" t="s">
        <v>32</v>
      </c>
      <c r="E398" t="str">
        <f t="shared" si="25"/>
        <v>Idaho Falls</v>
      </c>
      <c r="F398" t="str">
        <f t="shared" si="26"/>
        <v>Billings</v>
      </c>
      <c r="G398" t="str">
        <f t="shared" si="27"/>
        <v>IDF</v>
      </c>
      <c r="H398" t="str">
        <f t="shared" si="28"/>
        <v>BIL</v>
      </c>
    </row>
    <row r="399" spans="1:8" x14ac:dyDescent="0.2">
      <c r="A399" t="s">
        <v>434</v>
      </c>
      <c r="B399" s="7">
        <v>45161.732638888891</v>
      </c>
      <c r="C399" t="s">
        <v>41</v>
      </c>
      <c r="D399" t="s">
        <v>28</v>
      </c>
      <c r="E399" t="str">
        <f t="shared" si="25"/>
        <v>NoCo</v>
      </c>
      <c r="F399" t="str">
        <f t="shared" si="26"/>
        <v>Grand Junction</v>
      </c>
      <c r="G399" t="str">
        <f t="shared" si="27"/>
        <v>NoCo</v>
      </c>
      <c r="H399" t="str">
        <f t="shared" si="28"/>
        <v>GJJ</v>
      </c>
    </row>
    <row r="400" spans="1:8" x14ac:dyDescent="0.2">
      <c r="A400" t="s">
        <v>435</v>
      </c>
      <c r="B400" s="7">
        <v>45161.732638888891</v>
      </c>
      <c r="C400" t="s">
        <v>29</v>
      </c>
      <c r="D400" t="s">
        <v>40</v>
      </c>
      <c r="E400" t="str">
        <f t="shared" si="25"/>
        <v>Ogden</v>
      </c>
      <c r="F400" t="str">
        <f t="shared" si="26"/>
        <v>Rocky Mountain</v>
      </c>
      <c r="G400" t="str">
        <f t="shared" si="27"/>
        <v>OGD</v>
      </c>
      <c r="H400" t="str">
        <f t="shared" si="28"/>
        <v>RMV</v>
      </c>
    </row>
    <row r="401" spans="1:8" x14ac:dyDescent="0.2">
      <c r="A401" t="s">
        <v>436</v>
      </c>
      <c r="B401" s="7">
        <v>45161.75</v>
      </c>
      <c r="C401" t="s">
        <v>38</v>
      </c>
      <c r="D401" t="s">
        <v>35</v>
      </c>
      <c r="E401" t="str">
        <f t="shared" si="25"/>
        <v>Boise</v>
      </c>
      <c r="F401" t="str">
        <f t="shared" si="26"/>
        <v>Great Falls</v>
      </c>
      <c r="G401" t="str">
        <f t="shared" si="27"/>
        <v>BOI</v>
      </c>
      <c r="H401" t="str">
        <f t="shared" si="28"/>
        <v>GFV</v>
      </c>
    </row>
    <row r="402" spans="1:8" x14ac:dyDescent="0.2">
      <c r="A402" t="s">
        <v>437</v>
      </c>
      <c r="B402" s="7">
        <v>45161.753472222226</v>
      </c>
      <c r="C402" t="s">
        <v>31</v>
      </c>
      <c r="D402" t="s">
        <v>34</v>
      </c>
      <c r="E402" t="str">
        <f t="shared" si="25"/>
        <v>Missoula</v>
      </c>
      <c r="F402" t="str">
        <f t="shared" si="26"/>
        <v>Glacier</v>
      </c>
      <c r="G402" t="str">
        <f t="shared" si="27"/>
        <v>MIS</v>
      </c>
      <c r="H402" t="str">
        <f t="shared" si="28"/>
        <v>GRR</v>
      </c>
    </row>
    <row r="403" spans="1:8" x14ac:dyDescent="0.2">
      <c r="A403" t="s">
        <v>438</v>
      </c>
      <c r="B403" s="7">
        <v>45162.732638888891</v>
      </c>
      <c r="C403" t="s">
        <v>37</v>
      </c>
      <c r="D403" t="s">
        <v>32</v>
      </c>
      <c r="E403" t="str">
        <f t="shared" si="25"/>
        <v>Idaho Falls</v>
      </c>
      <c r="F403" t="str">
        <f t="shared" si="26"/>
        <v>Billings</v>
      </c>
      <c r="G403" t="str">
        <f t="shared" si="27"/>
        <v>IDF</v>
      </c>
      <c r="H403" t="str">
        <f t="shared" si="28"/>
        <v>BIL</v>
      </c>
    </row>
    <row r="404" spans="1:8" x14ac:dyDescent="0.2">
      <c r="A404" t="s">
        <v>439</v>
      </c>
      <c r="B404" s="7">
        <v>45162.732638888891</v>
      </c>
      <c r="C404" t="s">
        <v>29</v>
      </c>
      <c r="D404" t="s">
        <v>40</v>
      </c>
      <c r="E404" t="str">
        <f t="shared" si="25"/>
        <v>Ogden</v>
      </c>
      <c r="F404" t="str">
        <f t="shared" si="26"/>
        <v>Rocky Mountain</v>
      </c>
      <c r="G404" t="str">
        <f t="shared" si="27"/>
        <v>OGD</v>
      </c>
      <c r="H404" t="str">
        <f t="shared" si="28"/>
        <v>RMV</v>
      </c>
    </row>
    <row r="405" spans="1:8" x14ac:dyDescent="0.2">
      <c r="A405" t="s">
        <v>440</v>
      </c>
      <c r="B405" s="7">
        <v>45162.75</v>
      </c>
      <c r="C405" t="s">
        <v>38</v>
      </c>
      <c r="D405" t="s">
        <v>35</v>
      </c>
      <c r="E405" t="str">
        <f t="shared" si="25"/>
        <v>Boise</v>
      </c>
      <c r="F405" t="str">
        <f t="shared" si="26"/>
        <v>Great Falls</v>
      </c>
      <c r="G405" t="str">
        <f t="shared" si="27"/>
        <v>BOI</v>
      </c>
      <c r="H405" t="str">
        <f t="shared" si="28"/>
        <v>GFV</v>
      </c>
    </row>
    <row r="406" spans="1:8" x14ac:dyDescent="0.2">
      <c r="A406" t="s">
        <v>441</v>
      </c>
      <c r="B406" s="7">
        <v>45162.753472222226</v>
      </c>
      <c r="C406" t="s">
        <v>31</v>
      </c>
      <c r="D406" t="s">
        <v>34</v>
      </c>
      <c r="E406" t="str">
        <f t="shared" si="25"/>
        <v>Missoula</v>
      </c>
      <c r="F406" t="str">
        <f t="shared" si="26"/>
        <v>Glacier</v>
      </c>
      <c r="G406" t="str">
        <f t="shared" si="27"/>
        <v>MIS</v>
      </c>
      <c r="H406" t="str">
        <f t="shared" si="28"/>
        <v>GRR</v>
      </c>
    </row>
    <row r="407" spans="1:8" x14ac:dyDescent="0.2">
      <c r="A407" t="s">
        <v>442</v>
      </c>
      <c r="B407" s="7">
        <v>45163.732638888891</v>
      </c>
      <c r="C407" t="s">
        <v>37</v>
      </c>
      <c r="D407" t="s">
        <v>32</v>
      </c>
      <c r="E407" t="str">
        <f t="shared" si="25"/>
        <v>Idaho Falls</v>
      </c>
      <c r="F407" t="str">
        <f t="shared" si="26"/>
        <v>Billings</v>
      </c>
      <c r="G407" t="str">
        <f t="shared" si="27"/>
        <v>IDF</v>
      </c>
      <c r="H407" t="str">
        <f t="shared" si="28"/>
        <v>BIL</v>
      </c>
    </row>
    <row r="408" spans="1:8" x14ac:dyDescent="0.2">
      <c r="A408" t="s">
        <v>443</v>
      </c>
      <c r="B408" s="7">
        <v>45163.732638888891</v>
      </c>
      <c r="C408" t="s">
        <v>29</v>
      </c>
      <c r="D408" t="s">
        <v>40</v>
      </c>
      <c r="E408" t="str">
        <f t="shared" si="25"/>
        <v>Ogden</v>
      </c>
      <c r="F408" t="str">
        <f t="shared" si="26"/>
        <v>Rocky Mountain</v>
      </c>
      <c r="G408" t="str">
        <f t="shared" si="27"/>
        <v>OGD</v>
      </c>
      <c r="H408" t="str">
        <f t="shared" si="28"/>
        <v>RMV</v>
      </c>
    </row>
    <row r="409" spans="1:8" x14ac:dyDescent="0.2">
      <c r="A409" t="s">
        <v>444</v>
      </c>
      <c r="B409" s="7">
        <v>45163.75</v>
      </c>
      <c r="C409" t="s">
        <v>38</v>
      </c>
      <c r="D409" t="s">
        <v>35</v>
      </c>
      <c r="E409" t="str">
        <f t="shared" si="25"/>
        <v>Boise</v>
      </c>
      <c r="F409" t="str">
        <f t="shared" si="26"/>
        <v>Great Falls</v>
      </c>
      <c r="G409" t="str">
        <f t="shared" si="27"/>
        <v>BOI</v>
      </c>
      <c r="H409" t="str">
        <f t="shared" si="28"/>
        <v>GFV</v>
      </c>
    </row>
    <row r="410" spans="1:8" x14ac:dyDescent="0.2">
      <c r="A410" t="s">
        <v>445</v>
      </c>
      <c r="B410" s="7">
        <v>45163.753472222226</v>
      </c>
      <c r="C410" t="s">
        <v>28</v>
      </c>
      <c r="D410" t="s">
        <v>41</v>
      </c>
      <c r="E410" t="str">
        <f t="shared" si="25"/>
        <v>Grand Junction</v>
      </c>
      <c r="F410" t="str">
        <f t="shared" si="26"/>
        <v>NoCo</v>
      </c>
      <c r="G410" t="str">
        <f t="shared" si="27"/>
        <v>GJJ</v>
      </c>
      <c r="H410" t="str">
        <f t="shared" si="28"/>
        <v>NoCo</v>
      </c>
    </row>
    <row r="411" spans="1:8" x14ac:dyDescent="0.2">
      <c r="A411" t="s">
        <v>446</v>
      </c>
      <c r="B411" s="7">
        <v>45163.753472222226</v>
      </c>
      <c r="C411" t="s">
        <v>31</v>
      </c>
      <c r="D411" t="s">
        <v>34</v>
      </c>
      <c r="E411" t="str">
        <f t="shared" si="25"/>
        <v>Missoula</v>
      </c>
      <c r="F411" t="str">
        <f t="shared" si="26"/>
        <v>Glacier</v>
      </c>
      <c r="G411" t="str">
        <f t="shared" si="27"/>
        <v>MIS</v>
      </c>
      <c r="H411" t="str">
        <f t="shared" si="28"/>
        <v>GRR</v>
      </c>
    </row>
    <row r="412" spans="1:8" x14ac:dyDescent="0.2">
      <c r="A412" t="s">
        <v>447</v>
      </c>
      <c r="B412" s="7">
        <v>45164.732638888891</v>
      </c>
      <c r="C412" t="s">
        <v>37</v>
      </c>
      <c r="D412" t="s">
        <v>32</v>
      </c>
      <c r="E412" t="str">
        <f t="shared" si="25"/>
        <v>Idaho Falls</v>
      </c>
      <c r="F412" t="str">
        <f t="shared" si="26"/>
        <v>Billings</v>
      </c>
      <c r="G412" t="str">
        <f t="shared" si="27"/>
        <v>IDF</v>
      </c>
      <c r="H412" t="str">
        <f t="shared" si="28"/>
        <v>BIL</v>
      </c>
    </row>
    <row r="413" spans="1:8" x14ac:dyDescent="0.2">
      <c r="A413" t="s">
        <v>448</v>
      </c>
      <c r="B413" s="7">
        <v>45164.732638888891</v>
      </c>
      <c r="C413" t="s">
        <v>29</v>
      </c>
      <c r="D413" t="s">
        <v>40</v>
      </c>
      <c r="E413" t="str">
        <f t="shared" si="25"/>
        <v>Ogden</v>
      </c>
      <c r="F413" t="str">
        <f t="shared" si="26"/>
        <v>Rocky Mountain</v>
      </c>
      <c r="G413" t="str">
        <f t="shared" si="27"/>
        <v>OGD</v>
      </c>
      <c r="H413" t="str">
        <f t="shared" si="28"/>
        <v>RMV</v>
      </c>
    </row>
    <row r="414" spans="1:8" x14ac:dyDescent="0.2">
      <c r="A414" t="s">
        <v>449</v>
      </c>
      <c r="B414" s="7">
        <v>45164.75</v>
      </c>
      <c r="C414" t="s">
        <v>38</v>
      </c>
      <c r="D414" t="s">
        <v>35</v>
      </c>
      <c r="E414" t="str">
        <f t="shared" si="25"/>
        <v>Boise</v>
      </c>
      <c r="F414" t="str">
        <f t="shared" si="26"/>
        <v>Great Falls</v>
      </c>
      <c r="G414" t="str">
        <f t="shared" si="27"/>
        <v>BOI</v>
      </c>
      <c r="H414" t="str">
        <f t="shared" si="28"/>
        <v>GFV</v>
      </c>
    </row>
    <row r="415" spans="1:8" x14ac:dyDescent="0.2">
      <c r="A415" t="s">
        <v>450</v>
      </c>
      <c r="B415" s="7">
        <v>45164.753472222226</v>
      </c>
      <c r="C415" t="s">
        <v>28</v>
      </c>
      <c r="D415" t="s">
        <v>41</v>
      </c>
      <c r="E415" t="str">
        <f t="shared" si="25"/>
        <v>Grand Junction</v>
      </c>
      <c r="F415" t="str">
        <f t="shared" si="26"/>
        <v>NoCo</v>
      </c>
      <c r="G415" t="str">
        <f t="shared" si="27"/>
        <v>GJJ</v>
      </c>
      <c r="H415" t="str">
        <f t="shared" si="28"/>
        <v>NoCo</v>
      </c>
    </row>
    <row r="416" spans="1:8" x14ac:dyDescent="0.2">
      <c r="A416" t="s">
        <v>451</v>
      </c>
      <c r="B416" s="7">
        <v>45164.753472222226</v>
      </c>
      <c r="C416" t="s">
        <v>31</v>
      </c>
      <c r="D416" t="s">
        <v>34</v>
      </c>
      <c r="E416" t="str">
        <f t="shared" si="25"/>
        <v>Missoula</v>
      </c>
      <c r="F416" t="str">
        <f t="shared" si="26"/>
        <v>Glacier</v>
      </c>
      <c r="G416" t="str">
        <f t="shared" si="27"/>
        <v>MIS</v>
      </c>
      <c r="H416" t="str">
        <f t="shared" si="28"/>
        <v>GRR</v>
      </c>
    </row>
    <row r="417" spans="1:8" x14ac:dyDescent="0.2">
      <c r="A417" t="s">
        <v>452</v>
      </c>
      <c r="B417" s="7">
        <v>45165.4375</v>
      </c>
      <c r="C417" t="s">
        <v>38</v>
      </c>
      <c r="D417" t="s">
        <v>35</v>
      </c>
      <c r="E417" t="str">
        <f t="shared" si="25"/>
        <v>Boise</v>
      </c>
      <c r="F417" t="str">
        <f t="shared" si="26"/>
        <v>Great Falls</v>
      </c>
      <c r="G417" t="str">
        <f t="shared" si="27"/>
        <v>BOI</v>
      </c>
      <c r="H417" t="str">
        <f t="shared" si="28"/>
        <v>GFV</v>
      </c>
    </row>
    <row r="418" spans="1:8" x14ac:dyDescent="0.2">
      <c r="A418" t="s">
        <v>453</v>
      </c>
      <c r="B418" s="7">
        <v>45165.503472222226</v>
      </c>
      <c r="C418" t="s">
        <v>28</v>
      </c>
      <c r="D418" t="s">
        <v>41</v>
      </c>
      <c r="E418" t="str">
        <f t="shared" si="25"/>
        <v>Grand Junction</v>
      </c>
      <c r="F418" t="str">
        <f t="shared" si="26"/>
        <v>NoCo</v>
      </c>
      <c r="G418" t="str">
        <f t="shared" si="27"/>
        <v>GJJ</v>
      </c>
      <c r="H418" t="str">
        <f t="shared" si="28"/>
        <v>NoCo</v>
      </c>
    </row>
    <row r="419" spans="1:8" x14ac:dyDescent="0.2">
      <c r="A419" t="s">
        <v>454</v>
      </c>
      <c r="B419" s="7">
        <v>45165.503472222226</v>
      </c>
      <c r="C419" t="s">
        <v>37</v>
      </c>
      <c r="D419" t="s">
        <v>32</v>
      </c>
      <c r="E419" t="str">
        <f t="shared" si="25"/>
        <v>Idaho Falls</v>
      </c>
      <c r="F419" t="str">
        <f t="shared" si="26"/>
        <v>Billings</v>
      </c>
      <c r="G419" t="str">
        <f t="shared" si="27"/>
        <v>IDF</v>
      </c>
      <c r="H419" t="str">
        <f t="shared" si="28"/>
        <v>BIL</v>
      </c>
    </row>
    <row r="420" spans="1:8" x14ac:dyDescent="0.2">
      <c r="A420" t="s">
        <v>455</v>
      </c>
      <c r="B420" s="7">
        <v>45165.503472222226</v>
      </c>
      <c r="C420" t="s">
        <v>31</v>
      </c>
      <c r="D420" t="s">
        <v>34</v>
      </c>
      <c r="E420" t="str">
        <f t="shared" si="25"/>
        <v>Missoula</v>
      </c>
      <c r="F420" t="str">
        <f t="shared" si="26"/>
        <v>Glacier</v>
      </c>
      <c r="G420" t="str">
        <f t="shared" si="27"/>
        <v>MIS</v>
      </c>
      <c r="H420" t="str">
        <f t="shared" si="28"/>
        <v>GRR</v>
      </c>
    </row>
    <row r="421" spans="1:8" x14ac:dyDescent="0.2">
      <c r="A421" t="s">
        <v>456</v>
      </c>
      <c r="B421" s="7">
        <v>45165.503472222226</v>
      </c>
      <c r="C421" t="s">
        <v>29</v>
      </c>
      <c r="D421" t="s">
        <v>40</v>
      </c>
      <c r="E421" t="str">
        <f t="shared" si="25"/>
        <v>Ogden</v>
      </c>
      <c r="F421" t="str">
        <f t="shared" si="26"/>
        <v>Rocky Mountain</v>
      </c>
      <c r="G421" t="str">
        <f t="shared" si="27"/>
        <v>OGD</v>
      </c>
      <c r="H421" t="str">
        <f t="shared" si="28"/>
        <v>RMV</v>
      </c>
    </row>
    <row r="422" spans="1:8" x14ac:dyDescent="0.2">
      <c r="A422" t="s">
        <v>457</v>
      </c>
      <c r="B422" s="7">
        <v>45166.753472222226</v>
      </c>
      <c r="C422" t="s">
        <v>40</v>
      </c>
      <c r="D422" t="s">
        <v>41</v>
      </c>
      <c r="E422" t="str">
        <f t="shared" si="25"/>
        <v>Rocky Mountain</v>
      </c>
      <c r="F422" t="str">
        <f t="shared" si="26"/>
        <v>NoCo</v>
      </c>
      <c r="G422" t="str">
        <f t="shared" si="27"/>
        <v>RMV</v>
      </c>
      <c r="H422" t="str">
        <f t="shared" si="28"/>
        <v>NoCo</v>
      </c>
    </row>
    <row r="423" spans="1:8" x14ac:dyDescent="0.2">
      <c r="A423" t="s">
        <v>458</v>
      </c>
      <c r="B423" s="7">
        <v>45167.729166666672</v>
      </c>
      <c r="C423" t="s">
        <v>32</v>
      </c>
      <c r="D423" t="s">
        <v>29</v>
      </c>
      <c r="E423" t="str">
        <f t="shared" si="25"/>
        <v>Billings</v>
      </c>
      <c r="F423" t="str">
        <f t="shared" si="26"/>
        <v>Ogden</v>
      </c>
      <c r="G423" t="str">
        <f t="shared" si="27"/>
        <v>BIL</v>
      </c>
      <c r="H423" t="str">
        <f t="shared" si="28"/>
        <v>OGD</v>
      </c>
    </row>
    <row r="424" spans="1:8" x14ac:dyDescent="0.2">
      <c r="A424" t="s">
        <v>459</v>
      </c>
      <c r="B424" s="7">
        <v>45167.753472222226</v>
      </c>
      <c r="C424" t="s">
        <v>34</v>
      </c>
      <c r="D424" t="s">
        <v>37</v>
      </c>
      <c r="E424" t="str">
        <f t="shared" si="25"/>
        <v>Glacier</v>
      </c>
      <c r="F424" t="str">
        <f t="shared" si="26"/>
        <v>Idaho Falls</v>
      </c>
      <c r="G424" t="str">
        <f t="shared" si="27"/>
        <v>GRR</v>
      </c>
      <c r="H424" t="str">
        <f t="shared" si="28"/>
        <v>IDF</v>
      </c>
    </row>
    <row r="425" spans="1:8" x14ac:dyDescent="0.2">
      <c r="A425" t="s">
        <v>460</v>
      </c>
      <c r="B425" s="7">
        <v>45167.753472222226</v>
      </c>
      <c r="C425" t="s">
        <v>28</v>
      </c>
      <c r="D425" t="s">
        <v>38</v>
      </c>
      <c r="E425" t="str">
        <f t="shared" si="25"/>
        <v>Grand Junction</v>
      </c>
      <c r="F425" t="str">
        <f t="shared" si="26"/>
        <v>Boise</v>
      </c>
      <c r="G425" t="str">
        <f t="shared" si="27"/>
        <v>GJJ</v>
      </c>
      <c r="H425" t="str">
        <f t="shared" si="28"/>
        <v>BOI</v>
      </c>
    </row>
    <row r="426" spans="1:8" x14ac:dyDescent="0.2">
      <c r="A426" t="s">
        <v>461</v>
      </c>
      <c r="B426" s="7">
        <v>45167.753472222226</v>
      </c>
      <c r="C426" t="s">
        <v>35</v>
      </c>
      <c r="D426" t="s">
        <v>31</v>
      </c>
      <c r="E426" t="str">
        <f t="shared" si="25"/>
        <v>Great Falls</v>
      </c>
      <c r="F426" t="str">
        <f t="shared" si="26"/>
        <v>Missoula</v>
      </c>
      <c r="G426" t="str">
        <f t="shared" si="27"/>
        <v>GFV</v>
      </c>
      <c r="H426" t="str">
        <f t="shared" si="28"/>
        <v>MIS</v>
      </c>
    </row>
    <row r="427" spans="1:8" x14ac:dyDescent="0.2">
      <c r="A427" t="s">
        <v>462</v>
      </c>
      <c r="B427" s="7">
        <v>45167.753472222226</v>
      </c>
      <c r="C427" t="s">
        <v>40</v>
      </c>
      <c r="D427" t="s">
        <v>41</v>
      </c>
      <c r="E427" t="str">
        <f t="shared" si="25"/>
        <v>Rocky Mountain</v>
      </c>
      <c r="F427" t="str">
        <f t="shared" si="26"/>
        <v>NoCo</v>
      </c>
      <c r="G427" t="str">
        <f t="shared" si="27"/>
        <v>RMV</v>
      </c>
      <c r="H427" t="str">
        <f t="shared" si="28"/>
        <v>NoCo</v>
      </c>
    </row>
    <row r="428" spans="1:8" x14ac:dyDescent="0.2">
      <c r="A428" t="s">
        <v>463</v>
      </c>
      <c r="B428" s="7">
        <v>45168.729166666672</v>
      </c>
      <c r="C428" t="s">
        <v>32</v>
      </c>
      <c r="D428" t="s">
        <v>29</v>
      </c>
      <c r="E428" t="str">
        <f t="shared" si="25"/>
        <v>Billings</v>
      </c>
      <c r="F428" t="str">
        <f t="shared" si="26"/>
        <v>Ogden</v>
      </c>
      <c r="G428" t="str">
        <f t="shared" si="27"/>
        <v>BIL</v>
      </c>
      <c r="H428" t="str">
        <f t="shared" si="28"/>
        <v>OGD</v>
      </c>
    </row>
    <row r="429" spans="1:8" x14ac:dyDescent="0.2">
      <c r="A429" t="s">
        <v>464</v>
      </c>
      <c r="B429" s="7">
        <v>45168.753472222226</v>
      </c>
      <c r="C429" t="s">
        <v>34</v>
      </c>
      <c r="D429" t="s">
        <v>37</v>
      </c>
      <c r="E429" t="str">
        <f t="shared" si="25"/>
        <v>Glacier</v>
      </c>
      <c r="F429" t="str">
        <f t="shared" si="26"/>
        <v>Idaho Falls</v>
      </c>
      <c r="G429" t="str">
        <f t="shared" si="27"/>
        <v>GRR</v>
      </c>
      <c r="H429" t="str">
        <f t="shared" si="28"/>
        <v>IDF</v>
      </c>
    </row>
    <row r="430" spans="1:8" x14ac:dyDescent="0.2">
      <c r="A430" t="s">
        <v>465</v>
      </c>
      <c r="B430" s="7">
        <v>45168.753472222226</v>
      </c>
      <c r="C430" t="s">
        <v>28</v>
      </c>
      <c r="D430" t="s">
        <v>38</v>
      </c>
      <c r="E430" t="str">
        <f t="shared" si="25"/>
        <v>Grand Junction</v>
      </c>
      <c r="F430" t="str">
        <f t="shared" si="26"/>
        <v>Boise</v>
      </c>
      <c r="G430" t="str">
        <f t="shared" si="27"/>
        <v>GJJ</v>
      </c>
      <c r="H430" t="str">
        <f t="shared" si="28"/>
        <v>BOI</v>
      </c>
    </row>
    <row r="431" spans="1:8" x14ac:dyDescent="0.2">
      <c r="A431" t="s">
        <v>466</v>
      </c>
      <c r="B431" s="7">
        <v>45168.753472222226</v>
      </c>
      <c r="C431" t="s">
        <v>35</v>
      </c>
      <c r="D431" t="s">
        <v>31</v>
      </c>
      <c r="E431" t="str">
        <f t="shared" si="25"/>
        <v>Great Falls</v>
      </c>
      <c r="F431" t="str">
        <f t="shared" si="26"/>
        <v>Missoula</v>
      </c>
      <c r="G431" t="str">
        <f t="shared" si="27"/>
        <v>GFV</v>
      </c>
      <c r="H431" t="str">
        <f t="shared" si="28"/>
        <v>MIS</v>
      </c>
    </row>
    <row r="432" spans="1:8" x14ac:dyDescent="0.2">
      <c r="A432" t="s">
        <v>467</v>
      </c>
      <c r="B432" s="7">
        <v>45168.753472222226</v>
      </c>
      <c r="C432" t="s">
        <v>40</v>
      </c>
      <c r="D432" t="s">
        <v>41</v>
      </c>
      <c r="E432" t="str">
        <f t="shared" si="25"/>
        <v>Rocky Mountain</v>
      </c>
      <c r="F432" t="str">
        <f t="shared" si="26"/>
        <v>NoCo</v>
      </c>
      <c r="G432" t="str">
        <f t="shared" si="27"/>
        <v>RMV</v>
      </c>
      <c r="H432" t="str">
        <f t="shared" si="28"/>
        <v>NoCo</v>
      </c>
    </row>
    <row r="433" spans="1:8" x14ac:dyDescent="0.2">
      <c r="A433" t="s">
        <v>468</v>
      </c>
      <c r="B433" s="7">
        <v>45169.729166666672</v>
      </c>
      <c r="C433" t="s">
        <v>32</v>
      </c>
      <c r="D433" t="s">
        <v>29</v>
      </c>
      <c r="E433" t="str">
        <f t="shared" si="25"/>
        <v>Billings</v>
      </c>
      <c r="F433" t="str">
        <f t="shared" si="26"/>
        <v>Ogden</v>
      </c>
      <c r="G433" t="str">
        <f t="shared" si="27"/>
        <v>BIL</v>
      </c>
      <c r="H433" t="str">
        <f t="shared" si="28"/>
        <v>OGD</v>
      </c>
    </row>
    <row r="434" spans="1:8" x14ac:dyDescent="0.2">
      <c r="A434" t="s">
        <v>469</v>
      </c>
      <c r="B434" s="7">
        <v>45169.753472222226</v>
      </c>
      <c r="C434" t="s">
        <v>34</v>
      </c>
      <c r="D434" t="s">
        <v>37</v>
      </c>
      <c r="E434" t="str">
        <f t="shared" si="25"/>
        <v>Glacier</v>
      </c>
      <c r="F434" t="str">
        <f t="shared" si="26"/>
        <v>Idaho Falls</v>
      </c>
      <c r="G434" t="str">
        <f t="shared" si="27"/>
        <v>GRR</v>
      </c>
      <c r="H434" t="str">
        <f t="shared" si="28"/>
        <v>IDF</v>
      </c>
    </row>
    <row r="435" spans="1:8" x14ac:dyDescent="0.2">
      <c r="A435" t="s">
        <v>470</v>
      </c>
      <c r="B435" s="7">
        <v>45169.753472222226</v>
      </c>
      <c r="C435" t="s">
        <v>28</v>
      </c>
      <c r="D435" t="s">
        <v>38</v>
      </c>
      <c r="E435" t="str">
        <f t="shared" si="25"/>
        <v>Grand Junction</v>
      </c>
      <c r="F435" t="str">
        <f t="shared" si="26"/>
        <v>Boise</v>
      </c>
      <c r="G435" t="str">
        <f t="shared" si="27"/>
        <v>GJJ</v>
      </c>
      <c r="H435" t="str">
        <f t="shared" si="28"/>
        <v>BOI</v>
      </c>
    </row>
    <row r="436" spans="1:8" x14ac:dyDescent="0.2">
      <c r="A436" t="s">
        <v>471</v>
      </c>
      <c r="B436" s="7">
        <v>45169.753472222226</v>
      </c>
      <c r="C436" t="s">
        <v>35</v>
      </c>
      <c r="D436" t="s">
        <v>31</v>
      </c>
      <c r="E436" t="str">
        <f t="shared" si="25"/>
        <v>Great Falls</v>
      </c>
      <c r="F436" t="str">
        <f t="shared" si="26"/>
        <v>Missoula</v>
      </c>
      <c r="G436" t="str">
        <f t="shared" si="27"/>
        <v>GFV</v>
      </c>
      <c r="H436" t="str">
        <f t="shared" si="28"/>
        <v>MIS</v>
      </c>
    </row>
    <row r="437" spans="1:8" x14ac:dyDescent="0.2">
      <c r="A437" t="s">
        <v>472</v>
      </c>
      <c r="B437" s="7">
        <v>45169.753472222226</v>
      </c>
      <c r="C437" t="s">
        <v>40</v>
      </c>
      <c r="D437" t="s">
        <v>41</v>
      </c>
      <c r="E437" t="str">
        <f t="shared" si="25"/>
        <v>Rocky Mountain</v>
      </c>
      <c r="F437" t="str">
        <f t="shared" si="26"/>
        <v>NoCo</v>
      </c>
      <c r="G437" t="str">
        <f t="shared" si="27"/>
        <v>RMV</v>
      </c>
      <c r="H437" t="str">
        <f t="shared" si="28"/>
        <v>NoCo</v>
      </c>
    </row>
    <row r="438" spans="1:8" x14ac:dyDescent="0.2">
      <c r="A438" t="s">
        <v>473</v>
      </c>
      <c r="B438" s="7">
        <v>45170.729166666672</v>
      </c>
      <c r="C438" t="s">
        <v>32</v>
      </c>
      <c r="D438" t="s">
        <v>29</v>
      </c>
      <c r="E438" t="str">
        <f t="shared" si="25"/>
        <v>Billings</v>
      </c>
      <c r="F438" t="str">
        <f t="shared" si="26"/>
        <v>Ogden</v>
      </c>
      <c r="G438" t="str">
        <f t="shared" si="27"/>
        <v>BIL</v>
      </c>
      <c r="H438" t="str">
        <f t="shared" si="28"/>
        <v>OGD</v>
      </c>
    </row>
    <row r="439" spans="1:8" x14ac:dyDescent="0.2">
      <c r="A439" t="s">
        <v>474</v>
      </c>
      <c r="B439" s="7">
        <v>45170.753472222226</v>
      </c>
      <c r="C439" t="s">
        <v>28</v>
      </c>
      <c r="D439" t="s">
        <v>38</v>
      </c>
      <c r="E439" t="str">
        <f t="shared" si="25"/>
        <v>Grand Junction</v>
      </c>
      <c r="F439" t="str">
        <f t="shared" si="26"/>
        <v>Boise</v>
      </c>
      <c r="G439" t="str">
        <f t="shared" si="27"/>
        <v>GJJ</v>
      </c>
      <c r="H439" t="str">
        <f t="shared" si="28"/>
        <v>BOI</v>
      </c>
    </row>
    <row r="440" spans="1:8" x14ac:dyDescent="0.2">
      <c r="A440" t="s">
        <v>475</v>
      </c>
      <c r="B440" s="7">
        <v>45170.753472222226</v>
      </c>
      <c r="C440" t="s">
        <v>35</v>
      </c>
      <c r="D440" t="s">
        <v>34</v>
      </c>
      <c r="E440" t="str">
        <f t="shared" si="25"/>
        <v>Great Falls</v>
      </c>
      <c r="F440" t="str">
        <f t="shared" si="26"/>
        <v>Glacier</v>
      </c>
      <c r="G440" t="str">
        <f t="shared" si="27"/>
        <v>GFV</v>
      </c>
      <c r="H440" t="str">
        <f t="shared" si="28"/>
        <v>GRR</v>
      </c>
    </row>
    <row r="441" spans="1:8" x14ac:dyDescent="0.2">
      <c r="A441" t="s">
        <v>476</v>
      </c>
      <c r="B441" s="7">
        <v>45170.753472222226</v>
      </c>
      <c r="C441" t="s">
        <v>31</v>
      </c>
      <c r="D441" t="s">
        <v>37</v>
      </c>
      <c r="E441" t="str">
        <f t="shared" si="25"/>
        <v>Missoula</v>
      </c>
      <c r="F441" t="str">
        <f t="shared" si="26"/>
        <v>Idaho Falls</v>
      </c>
      <c r="G441" t="str">
        <f t="shared" si="27"/>
        <v>MIS</v>
      </c>
      <c r="H441" t="str">
        <f t="shared" si="28"/>
        <v>IDF</v>
      </c>
    </row>
    <row r="442" spans="1:8" x14ac:dyDescent="0.2">
      <c r="A442" t="s">
        <v>477</v>
      </c>
      <c r="B442" s="7">
        <v>45170.753472222226</v>
      </c>
      <c r="C442" t="s">
        <v>40</v>
      </c>
      <c r="D442" t="s">
        <v>41</v>
      </c>
      <c r="E442" t="str">
        <f t="shared" si="25"/>
        <v>Rocky Mountain</v>
      </c>
      <c r="F442" t="str">
        <f t="shared" si="26"/>
        <v>NoCo</v>
      </c>
      <c r="G442" t="str">
        <f t="shared" si="27"/>
        <v>RMV</v>
      </c>
      <c r="H442" t="str">
        <f t="shared" si="28"/>
        <v>NoCo</v>
      </c>
    </row>
    <row r="443" spans="1:8" x14ac:dyDescent="0.2">
      <c r="A443" t="s">
        <v>478</v>
      </c>
      <c r="B443" s="7">
        <v>45171.729166666672</v>
      </c>
      <c r="C443" t="s">
        <v>32</v>
      </c>
      <c r="D443" t="s">
        <v>29</v>
      </c>
      <c r="E443" t="str">
        <f t="shared" si="25"/>
        <v>Billings</v>
      </c>
      <c r="F443" t="str">
        <f t="shared" si="26"/>
        <v>Ogden</v>
      </c>
      <c r="G443" t="str">
        <f t="shared" si="27"/>
        <v>BIL</v>
      </c>
      <c r="H443" t="str">
        <f t="shared" si="28"/>
        <v>OGD</v>
      </c>
    </row>
    <row r="444" spans="1:8" x14ac:dyDescent="0.2">
      <c r="A444" t="s">
        <v>479</v>
      </c>
      <c r="B444" s="7">
        <v>45171.753472222226</v>
      </c>
      <c r="C444" t="s">
        <v>28</v>
      </c>
      <c r="D444" t="s">
        <v>38</v>
      </c>
      <c r="E444" t="str">
        <f t="shared" si="25"/>
        <v>Grand Junction</v>
      </c>
      <c r="F444" t="str">
        <f t="shared" si="26"/>
        <v>Boise</v>
      </c>
      <c r="G444" t="str">
        <f t="shared" si="27"/>
        <v>GJJ</v>
      </c>
      <c r="H444" t="str">
        <f t="shared" si="28"/>
        <v>BOI</v>
      </c>
    </row>
    <row r="445" spans="1:8" x14ac:dyDescent="0.2">
      <c r="A445" t="s">
        <v>480</v>
      </c>
      <c r="B445" s="7">
        <v>45171.753472222226</v>
      </c>
      <c r="C445" t="s">
        <v>35</v>
      </c>
      <c r="D445" t="s">
        <v>34</v>
      </c>
      <c r="E445" t="str">
        <f t="shared" si="25"/>
        <v>Great Falls</v>
      </c>
      <c r="F445" t="str">
        <f t="shared" si="26"/>
        <v>Glacier</v>
      </c>
      <c r="G445" t="str">
        <f t="shared" si="27"/>
        <v>GFV</v>
      </c>
      <c r="H445" t="str">
        <f t="shared" si="28"/>
        <v>GRR</v>
      </c>
    </row>
    <row r="446" spans="1:8" x14ac:dyDescent="0.2">
      <c r="A446" t="s">
        <v>481</v>
      </c>
      <c r="B446" s="7">
        <v>45171.753472222226</v>
      </c>
      <c r="C446" t="s">
        <v>31</v>
      </c>
      <c r="D446" t="s">
        <v>37</v>
      </c>
      <c r="E446" t="str">
        <f t="shared" si="25"/>
        <v>Missoula</v>
      </c>
      <c r="F446" t="str">
        <f t="shared" si="26"/>
        <v>Idaho Falls</v>
      </c>
      <c r="G446" t="str">
        <f t="shared" si="27"/>
        <v>MIS</v>
      </c>
      <c r="H446" t="str">
        <f t="shared" si="28"/>
        <v>IDF</v>
      </c>
    </row>
    <row r="447" spans="1:8" x14ac:dyDescent="0.2">
      <c r="A447" t="s">
        <v>482</v>
      </c>
      <c r="B447" s="7">
        <v>45171.753472222226</v>
      </c>
      <c r="C447" t="s">
        <v>40</v>
      </c>
      <c r="D447" t="s">
        <v>41</v>
      </c>
      <c r="E447" t="str">
        <f t="shared" si="25"/>
        <v>Rocky Mountain</v>
      </c>
      <c r="F447" t="str">
        <f t="shared" si="26"/>
        <v>NoCo</v>
      </c>
      <c r="G447" t="str">
        <f t="shared" si="27"/>
        <v>RMV</v>
      </c>
      <c r="H447" t="str">
        <f t="shared" si="28"/>
        <v>NoCo</v>
      </c>
    </row>
    <row r="448" spans="1:8" x14ac:dyDescent="0.2">
      <c r="A448" t="s">
        <v>483</v>
      </c>
      <c r="B448" s="7">
        <v>45172.503472222226</v>
      </c>
      <c r="C448" t="s">
        <v>28</v>
      </c>
      <c r="D448" t="s">
        <v>38</v>
      </c>
      <c r="E448" t="str">
        <f t="shared" si="25"/>
        <v>Grand Junction</v>
      </c>
      <c r="F448" t="str">
        <f t="shared" si="26"/>
        <v>Boise</v>
      </c>
      <c r="G448" t="str">
        <f t="shared" si="27"/>
        <v>GJJ</v>
      </c>
      <c r="H448" t="str">
        <f t="shared" si="28"/>
        <v>BOI</v>
      </c>
    </row>
    <row r="449" spans="1:8" x14ac:dyDescent="0.2">
      <c r="A449" t="s">
        <v>484</v>
      </c>
      <c r="B449" s="7">
        <v>45172.503472222226</v>
      </c>
      <c r="C449" t="s">
        <v>35</v>
      </c>
      <c r="D449" t="s">
        <v>34</v>
      </c>
      <c r="E449" t="str">
        <f t="shared" si="25"/>
        <v>Great Falls</v>
      </c>
      <c r="F449" t="str">
        <f t="shared" si="26"/>
        <v>Glacier</v>
      </c>
      <c r="G449" t="str">
        <f t="shared" si="27"/>
        <v>GFV</v>
      </c>
      <c r="H449" t="str">
        <f t="shared" si="28"/>
        <v>GRR</v>
      </c>
    </row>
    <row r="450" spans="1:8" x14ac:dyDescent="0.2">
      <c r="A450" t="s">
        <v>485</v>
      </c>
      <c r="B450" s="7">
        <v>45172.541666666672</v>
      </c>
      <c r="C450" t="s">
        <v>32</v>
      </c>
      <c r="D450" t="s">
        <v>29</v>
      </c>
      <c r="E450" t="str">
        <f t="shared" ref="E450:E481" si="29">VLOOKUP(C450,$J$1:$L$10,2,FALSE)</f>
        <v>Billings</v>
      </c>
      <c r="F450" t="str">
        <f t="shared" ref="F450:F481" si="30">VLOOKUP(D450,$J$1:$L$10,2,FALSE)</f>
        <v>Ogden</v>
      </c>
      <c r="G450" t="str">
        <f t="shared" ref="G450:G481" si="31">VLOOKUP(C450,$J$1:$L$10,3,FALSE)</f>
        <v>BIL</v>
      </c>
      <c r="H450" t="str">
        <f t="shared" ref="H450:H481" si="32">VLOOKUP(D450,$J$1:$L$10,3,FALSE)</f>
        <v>OGD</v>
      </c>
    </row>
    <row r="451" spans="1:8" x14ac:dyDescent="0.2">
      <c r="A451" t="s">
        <v>486</v>
      </c>
      <c r="B451" s="7">
        <v>45172.541666666672</v>
      </c>
      <c r="C451" t="s">
        <v>31</v>
      </c>
      <c r="D451" t="s">
        <v>37</v>
      </c>
      <c r="E451" t="str">
        <f t="shared" si="29"/>
        <v>Missoula</v>
      </c>
      <c r="F451" t="str">
        <f t="shared" si="30"/>
        <v>Idaho Falls</v>
      </c>
      <c r="G451" t="str">
        <f t="shared" si="31"/>
        <v>MIS</v>
      </c>
      <c r="H451" t="str">
        <f t="shared" si="32"/>
        <v>IDF</v>
      </c>
    </row>
    <row r="452" spans="1:8" x14ac:dyDescent="0.2">
      <c r="A452" t="s">
        <v>487</v>
      </c>
      <c r="B452" s="7">
        <v>45173.503472222226</v>
      </c>
      <c r="C452" t="s">
        <v>31</v>
      </c>
      <c r="D452" t="s">
        <v>38</v>
      </c>
      <c r="E452" t="str">
        <f t="shared" si="29"/>
        <v>Missoula</v>
      </c>
      <c r="F452" t="str">
        <f t="shared" si="30"/>
        <v>Boise</v>
      </c>
      <c r="G452" t="str">
        <f t="shared" si="31"/>
        <v>MIS</v>
      </c>
      <c r="H452" t="str">
        <f t="shared" si="32"/>
        <v>BOI</v>
      </c>
    </row>
    <row r="453" spans="1:8" x14ac:dyDescent="0.2">
      <c r="A453" t="s">
        <v>488</v>
      </c>
      <c r="B453" s="7">
        <v>45173.670138888891</v>
      </c>
      <c r="C453" t="s">
        <v>35</v>
      </c>
      <c r="D453" t="s">
        <v>32</v>
      </c>
      <c r="E453" t="str">
        <f t="shared" si="29"/>
        <v>Great Falls</v>
      </c>
      <c r="F453" t="str">
        <f t="shared" si="30"/>
        <v>Billings</v>
      </c>
      <c r="G453" t="str">
        <f t="shared" si="31"/>
        <v>GFV</v>
      </c>
      <c r="H453" t="str">
        <f t="shared" si="32"/>
        <v>BIL</v>
      </c>
    </row>
    <row r="454" spans="1:8" x14ac:dyDescent="0.2">
      <c r="A454" t="s">
        <v>489</v>
      </c>
      <c r="B454" s="7">
        <v>45173.729166666672</v>
      </c>
      <c r="C454" t="s">
        <v>41</v>
      </c>
      <c r="D454" t="s">
        <v>29</v>
      </c>
      <c r="E454" t="str">
        <f t="shared" si="29"/>
        <v>NoCo</v>
      </c>
      <c r="F454" t="str">
        <f t="shared" si="30"/>
        <v>Ogden</v>
      </c>
      <c r="G454" t="str">
        <f t="shared" si="31"/>
        <v>NoCo</v>
      </c>
      <c r="H454" t="str">
        <f t="shared" si="32"/>
        <v>OGD</v>
      </c>
    </row>
    <row r="455" spans="1:8" x14ac:dyDescent="0.2">
      <c r="A455" t="s">
        <v>490</v>
      </c>
      <c r="B455" s="7">
        <v>45173.732638888891</v>
      </c>
      <c r="C455" t="s">
        <v>40</v>
      </c>
      <c r="D455" t="s">
        <v>28</v>
      </c>
      <c r="E455" t="str">
        <f t="shared" si="29"/>
        <v>Rocky Mountain</v>
      </c>
      <c r="F455" t="str">
        <f t="shared" si="30"/>
        <v>Grand Junction</v>
      </c>
      <c r="G455" t="str">
        <f t="shared" si="31"/>
        <v>RMV</v>
      </c>
      <c r="H455" t="str">
        <f t="shared" si="32"/>
        <v>GJJ</v>
      </c>
    </row>
    <row r="456" spans="1:8" x14ac:dyDescent="0.2">
      <c r="A456" t="s">
        <v>491</v>
      </c>
      <c r="B456" s="7">
        <v>45173.753472222226</v>
      </c>
      <c r="C456" t="s">
        <v>37</v>
      </c>
      <c r="D456" t="s">
        <v>34</v>
      </c>
      <c r="E456" t="str">
        <f t="shared" si="29"/>
        <v>Idaho Falls</v>
      </c>
      <c r="F456" t="str">
        <f t="shared" si="30"/>
        <v>Glacier</v>
      </c>
      <c r="G456" t="str">
        <f t="shared" si="31"/>
        <v>IDF</v>
      </c>
      <c r="H456" t="str">
        <f t="shared" si="32"/>
        <v>GRR</v>
      </c>
    </row>
    <row r="457" spans="1:8" x14ac:dyDescent="0.2">
      <c r="A457" t="s">
        <v>492</v>
      </c>
      <c r="B457" s="7">
        <v>45174.729166666672</v>
      </c>
      <c r="C457" t="s">
        <v>41</v>
      </c>
      <c r="D457" t="s">
        <v>29</v>
      </c>
      <c r="E457" t="str">
        <f t="shared" si="29"/>
        <v>NoCo</v>
      </c>
      <c r="F457" t="str">
        <f t="shared" si="30"/>
        <v>Ogden</v>
      </c>
      <c r="G457" t="str">
        <f t="shared" si="31"/>
        <v>NoCo</v>
      </c>
      <c r="H457" t="str">
        <f t="shared" si="32"/>
        <v>OGD</v>
      </c>
    </row>
    <row r="458" spans="1:8" x14ac:dyDescent="0.2">
      <c r="A458" t="s">
        <v>493</v>
      </c>
      <c r="B458" s="7">
        <v>45174.732638888891</v>
      </c>
      <c r="C458" t="s">
        <v>35</v>
      </c>
      <c r="D458" t="s">
        <v>32</v>
      </c>
      <c r="E458" t="str">
        <f t="shared" si="29"/>
        <v>Great Falls</v>
      </c>
      <c r="F458" t="str">
        <f t="shared" si="30"/>
        <v>Billings</v>
      </c>
      <c r="G458" t="str">
        <f t="shared" si="31"/>
        <v>GFV</v>
      </c>
      <c r="H458" t="str">
        <f t="shared" si="32"/>
        <v>BIL</v>
      </c>
    </row>
    <row r="459" spans="1:8" x14ac:dyDescent="0.2">
      <c r="A459" t="s">
        <v>494</v>
      </c>
      <c r="B459" s="7">
        <v>45174.732638888891</v>
      </c>
      <c r="C459" t="s">
        <v>40</v>
      </c>
      <c r="D459" t="s">
        <v>28</v>
      </c>
      <c r="E459" t="str">
        <f t="shared" si="29"/>
        <v>Rocky Mountain</v>
      </c>
      <c r="F459" t="str">
        <f t="shared" si="30"/>
        <v>Grand Junction</v>
      </c>
      <c r="G459" t="str">
        <f t="shared" si="31"/>
        <v>RMV</v>
      </c>
      <c r="H459" t="str">
        <f t="shared" si="32"/>
        <v>GJJ</v>
      </c>
    </row>
    <row r="460" spans="1:8" x14ac:dyDescent="0.2">
      <c r="A460" t="s">
        <v>495</v>
      </c>
      <c r="B460" s="7">
        <v>45174.753472222226</v>
      </c>
      <c r="C460" t="s">
        <v>37</v>
      </c>
      <c r="D460" t="s">
        <v>34</v>
      </c>
      <c r="E460" t="str">
        <f t="shared" si="29"/>
        <v>Idaho Falls</v>
      </c>
      <c r="F460" t="str">
        <f t="shared" si="30"/>
        <v>Glacier</v>
      </c>
      <c r="G460" t="str">
        <f t="shared" si="31"/>
        <v>IDF</v>
      </c>
      <c r="H460" t="str">
        <f t="shared" si="32"/>
        <v>GRR</v>
      </c>
    </row>
    <row r="461" spans="1:8" x14ac:dyDescent="0.2">
      <c r="A461" t="s">
        <v>496</v>
      </c>
      <c r="B461" s="7">
        <v>45174.753472222226</v>
      </c>
      <c r="C461" t="s">
        <v>31</v>
      </c>
      <c r="D461" t="s">
        <v>38</v>
      </c>
      <c r="E461" t="str">
        <f t="shared" si="29"/>
        <v>Missoula</v>
      </c>
      <c r="F461" t="str">
        <f t="shared" si="30"/>
        <v>Boise</v>
      </c>
      <c r="G461" t="str">
        <f t="shared" si="31"/>
        <v>MIS</v>
      </c>
      <c r="H461" t="str">
        <f t="shared" si="32"/>
        <v>BOI</v>
      </c>
    </row>
    <row r="462" spans="1:8" x14ac:dyDescent="0.2">
      <c r="A462" t="s">
        <v>497</v>
      </c>
      <c r="B462" s="7">
        <v>45175.729166666672</v>
      </c>
      <c r="C462" t="s">
        <v>41</v>
      </c>
      <c r="D462" t="s">
        <v>29</v>
      </c>
      <c r="E462" t="str">
        <f t="shared" si="29"/>
        <v>NoCo</v>
      </c>
      <c r="F462" t="str">
        <f t="shared" si="30"/>
        <v>Ogden</v>
      </c>
      <c r="G462" t="str">
        <f t="shared" si="31"/>
        <v>NoCo</v>
      </c>
      <c r="H462" t="str">
        <f t="shared" si="32"/>
        <v>OGD</v>
      </c>
    </row>
    <row r="463" spans="1:8" x14ac:dyDescent="0.2">
      <c r="A463" t="s">
        <v>498</v>
      </c>
      <c r="B463" s="7">
        <v>45175.732638888891</v>
      </c>
      <c r="C463" t="s">
        <v>35</v>
      </c>
      <c r="D463" t="s">
        <v>32</v>
      </c>
      <c r="E463" t="str">
        <f t="shared" si="29"/>
        <v>Great Falls</v>
      </c>
      <c r="F463" t="str">
        <f t="shared" si="30"/>
        <v>Billings</v>
      </c>
      <c r="G463" t="str">
        <f t="shared" si="31"/>
        <v>GFV</v>
      </c>
      <c r="H463" t="str">
        <f t="shared" si="32"/>
        <v>BIL</v>
      </c>
    </row>
    <row r="464" spans="1:8" x14ac:dyDescent="0.2">
      <c r="A464" t="s">
        <v>499</v>
      </c>
      <c r="B464" s="7">
        <v>45175.732638888891</v>
      </c>
      <c r="C464" t="s">
        <v>40</v>
      </c>
      <c r="D464" t="s">
        <v>28</v>
      </c>
      <c r="E464" t="str">
        <f t="shared" si="29"/>
        <v>Rocky Mountain</v>
      </c>
      <c r="F464" t="str">
        <f t="shared" si="30"/>
        <v>Grand Junction</v>
      </c>
      <c r="G464" t="str">
        <f t="shared" si="31"/>
        <v>RMV</v>
      </c>
      <c r="H464" t="str">
        <f t="shared" si="32"/>
        <v>GJJ</v>
      </c>
    </row>
    <row r="465" spans="1:8" x14ac:dyDescent="0.2">
      <c r="A465" t="s">
        <v>500</v>
      </c>
      <c r="B465" s="7">
        <v>45175.753472222226</v>
      </c>
      <c r="C465" t="s">
        <v>37</v>
      </c>
      <c r="D465" t="s">
        <v>34</v>
      </c>
      <c r="E465" t="str">
        <f t="shared" si="29"/>
        <v>Idaho Falls</v>
      </c>
      <c r="F465" t="str">
        <f t="shared" si="30"/>
        <v>Glacier</v>
      </c>
      <c r="G465" t="str">
        <f t="shared" si="31"/>
        <v>IDF</v>
      </c>
      <c r="H465" t="str">
        <f t="shared" si="32"/>
        <v>GRR</v>
      </c>
    </row>
    <row r="466" spans="1:8" x14ac:dyDescent="0.2">
      <c r="A466" t="s">
        <v>501</v>
      </c>
      <c r="B466" s="7">
        <v>45175.753472222226</v>
      </c>
      <c r="C466" t="s">
        <v>31</v>
      </c>
      <c r="D466" t="s">
        <v>38</v>
      </c>
      <c r="E466" t="str">
        <f t="shared" si="29"/>
        <v>Missoula</v>
      </c>
      <c r="F466" t="str">
        <f t="shared" si="30"/>
        <v>Boise</v>
      </c>
      <c r="G466" t="str">
        <f t="shared" si="31"/>
        <v>MIS</v>
      </c>
      <c r="H466" t="str">
        <f t="shared" si="32"/>
        <v>BOI</v>
      </c>
    </row>
    <row r="467" spans="1:8" x14ac:dyDescent="0.2">
      <c r="A467" t="s">
        <v>502</v>
      </c>
      <c r="B467" s="7">
        <v>45176.732638888891</v>
      </c>
      <c r="C467" t="s">
        <v>28</v>
      </c>
      <c r="D467" t="s">
        <v>40</v>
      </c>
      <c r="E467" t="str">
        <f t="shared" si="29"/>
        <v>Grand Junction</v>
      </c>
      <c r="F467" t="str">
        <f t="shared" si="30"/>
        <v>Rocky Mountain</v>
      </c>
      <c r="G467" t="str">
        <f t="shared" si="31"/>
        <v>GJJ</v>
      </c>
      <c r="H467" t="str">
        <f t="shared" si="32"/>
        <v>RMV</v>
      </c>
    </row>
    <row r="468" spans="1:8" x14ac:dyDescent="0.2">
      <c r="A468" t="s">
        <v>503</v>
      </c>
      <c r="B468" s="7">
        <v>45176.75</v>
      </c>
      <c r="C468" t="s">
        <v>38</v>
      </c>
      <c r="D468" t="s">
        <v>35</v>
      </c>
      <c r="E468" t="str">
        <f t="shared" si="29"/>
        <v>Boise</v>
      </c>
      <c r="F468" t="str">
        <f t="shared" si="30"/>
        <v>Great Falls</v>
      </c>
      <c r="G468" t="str">
        <f t="shared" si="31"/>
        <v>BOI</v>
      </c>
      <c r="H468" t="str">
        <f t="shared" si="32"/>
        <v>GFV</v>
      </c>
    </row>
    <row r="469" spans="1:8" x14ac:dyDescent="0.2">
      <c r="A469" t="s">
        <v>504</v>
      </c>
      <c r="B469" s="7">
        <v>45176.753472222226</v>
      </c>
      <c r="C469" t="s">
        <v>32</v>
      </c>
      <c r="D469" t="s">
        <v>41</v>
      </c>
      <c r="E469" t="str">
        <f t="shared" si="29"/>
        <v>Billings</v>
      </c>
      <c r="F469" t="str">
        <f t="shared" si="30"/>
        <v>NoCo</v>
      </c>
      <c r="G469" t="str">
        <f t="shared" si="31"/>
        <v>BIL</v>
      </c>
      <c r="H469" t="str">
        <f t="shared" si="32"/>
        <v>NoCo</v>
      </c>
    </row>
    <row r="470" spans="1:8" x14ac:dyDescent="0.2">
      <c r="A470" t="s">
        <v>505</v>
      </c>
      <c r="B470" s="7">
        <v>45176.753472222226</v>
      </c>
      <c r="C470" t="s">
        <v>34</v>
      </c>
      <c r="D470" t="s">
        <v>31</v>
      </c>
      <c r="E470" t="str">
        <f t="shared" si="29"/>
        <v>Glacier</v>
      </c>
      <c r="F470" t="str">
        <f t="shared" si="30"/>
        <v>Missoula</v>
      </c>
      <c r="G470" t="str">
        <f t="shared" si="31"/>
        <v>GRR</v>
      </c>
      <c r="H470" t="str">
        <f t="shared" si="32"/>
        <v>MIS</v>
      </c>
    </row>
    <row r="471" spans="1:8" x14ac:dyDescent="0.2">
      <c r="A471" t="s">
        <v>506</v>
      </c>
      <c r="B471" s="7">
        <v>45176.753472222226</v>
      </c>
      <c r="C471" t="s">
        <v>29</v>
      </c>
      <c r="D471" t="s">
        <v>37</v>
      </c>
      <c r="E471" t="str">
        <f t="shared" si="29"/>
        <v>Ogden</v>
      </c>
      <c r="F471" t="str">
        <f t="shared" si="30"/>
        <v>Idaho Falls</v>
      </c>
      <c r="G471" t="str">
        <f t="shared" si="31"/>
        <v>OGD</v>
      </c>
      <c r="H471" t="str">
        <f t="shared" si="32"/>
        <v>IDF</v>
      </c>
    </row>
    <row r="472" spans="1:8" x14ac:dyDescent="0.2">
      <c r="A472" t="s">
        <v>507</v>
      </c>
      <c r="B472" s="7">
        <v>45177.732638888891</v>
      </c>
      <c r="C472" t="s">
        <v>28</v>
      </c>
      <c r="D472" t="s">
        <v>40</v>
      </c>
      <c r="E472" t="str">
        <f t="shared" si="29"/>
        <v>Grand Junction</v>
      </c>
      <c r="F472" t="str">
        <f t="shared" si="30"/>
        <v>Rocky Mountain</v>
      </c>
      <c r="G472" t="str">
        <f t="shared" si="31"/>
        <v>GJJ</v>
      </c>
      <c r="H472" t="str">
        <f t="shared" si="32"/>
        <v>RMV</v>
      </c>
    </row>
    <row r="473" spans="1:8" x14ac:dyDescent="0.2">
      <c r="A473" t="s">
        <v>508</v>
      </c>
      <c r="B473" s="7">
        <v>45177.75</v>
      </c>
      <c r="C473" t="s">
        <v>38</v>
      </c>
      <c r="D473" t="s">
        <v>35</v>
      </c>
      <c r="E473" t="str">
        <f t="shared" si="29"/>
        <v>Boise</v>
      </c>
      <c r="F473" t="str">
        <f t="shared" si="30"/>
        <v>Great Falls</v>
      </c>
      <c r="G473" t="str">
        <f t="shared" si="31"/>
        <v>BOI</v>
      </c>
      <c r="H473" t="str">
        <f t="shared" si="32"/>
        <v>GFV</v>
      </c>
    </row>
    <row r="474" spans="1:8" x14ac:dyDescent="0.2">
      <c r="A474" t="s">
        <v>509</v>
      </c>
      <c r="B474" s="7">
        <v>45177.753472222226</v>
      </c>
      <c r="C474" t="s">
        <v>32</v>
      </c>
      <c r="D474" t="s">
        <v>41</v>
      </c>
      <c r="E474" t="str">
        <f t="shared" si="29"/>
        <v>Billings</v>
      </c>
      <c r="F474" t="str">
        <f t="shared" si="30"/>
        <v>NoCo</v>
      </c>
      <c r="G474" t="str">
        <f t="shared" si="31"/>
        <v>BIL</v>
      </c>
      <c r="H474" t="str">
        <f t="shared" si="32"/>
        <v>NoCo</v>
      </c>
    </row>
    <row r="475" spans="1:8" x14ac:dyDescent="0.2">
      <c r="A475" t="s">
        <v>510</v>
      </c>
      <c r="B475" s="7">
        <v>45177.753472222226</v>
      </c>
      <c r="C475" t="s">
        <v>34</v>
      </c>
      <c r="D475" t="s">
        <v>31</v>
      </c>
      <c r="E475" t="str">
        <f t="shared" si="29"/>
        <v>Glacier</v>
      </c>
      <c r="F475" t="str">
        <f t="shared" si="30"/>
        <v>Missoula</v>
      </c>
      <c r="G475" t="str">
        <f t="shared" si="31"/>
        <v>GRR</v>
      </c>
      <c r="H475" t="str">
        <f t="shared" si="32"/>
        <v>MIS</v>
      </c>
    </row>
    <row r="476" spans="1:8" x14ac:dyDescent="0.2">
      <c r="A476" t="s">
        <v>511</v>
      </c>
      <c r="B476" s="7">
        <v>45177.753472222226</v>
      </c>
      <c r="C476" t="s">
        <v>29</v>
      </c>
      <c r="D476" t="s">
        <v>37</v>
      </c>
      <c r="E476" t="str">
        <f t="shared" si="29"/>
        <v>Ogden</v>
      </c>
      <c r="F476" t="str">
        <f t="shared" si="30"/>
        <v>Idaho Falls</v>
      </c>
      <c r="G476" t="str">
        <f t="shared" si="31"/>
        <v>OGD</v>
      </c>
      <c r="H476" t="str">
        <f t="shared" si="32"/>
        <v>IDF</v>
      </c>
    </row>
    <row r="477" spans="1:8" x14ac:dyDescent="0.2">
      <c r="A477" t="s">
        <v>512</v>
      </c>
      <c r="B477" s="7">
        <v>45178.732638888891</v>
      </c>
      <c r="C477" t="s">
        <v>28</v>
      </c>
      <c r="D477" t="s">
        <v>40</v>
      </c>
      <c r="E477" t="str">
        <f t="shared" si="29"/>
        <v>Grand Junction</v>
      </c>
      <c r="F477" t="str">
        <f t="shared" si="30"/>
        <v>Rocky Mountain</v>
      </c>
      <c r="G477" t="str">
        <f t="shared" si="31"/>
        <v>GJJ</v>
      </c>
      <c r="H477" t="str">
        <f t="shared" si="32"/>
        <v>RMV</v>
      </c>
    </row>
    <row r="478" spans="1:8" x14ac:dyDescent="0.2">
      <c r="A478" t="s">
        <v>513</v>
      </c>
      <c r="B478" s="7">
        <v>45178.75</v>
      </c>
      <c r="C478" t="s">
        <v>38</v>
      </c>
      <c r="D478" t="s">
        <v>35</v>
      </c>
      <c r="E478" t="str">
        <f t="shared" si="29"/>
        <v>Boise</v>
      </c>
      <c r="F478" t="str">
        <f t="shared" si="30"/>
        <v>Great Falls</v>
      </c>
      <c r="G478" t="str">
        <f t="shared" si="31"/>
        <v>BOI</v>
      </c>
      <c r="H478" t="str">
        <f t="shared" si="32"/>
        <v>GFV</v>
      </c>
    </row>
    <row r="479" spans="1:8" x14ac:dyDescent="0.2">
      <c r="A479" t="s">
        <v>514</v>
      </c>
      <c r="B479" s="7">
        <v>45178.753472222226</v>
      </c>
      <c r="C479" t="s">
        <v>32</v>
      </c>
      <c r="D479" t="s">
        <v>41</v>
      </c>
      <c r="E479" t="str">
        <f t="shared" si="29"/>
        <v>Billings</v>
      </c>
      <c r="F479" t="str">
        <f t="shared" si="30"/>
        <v>NoCo</v>
      </c>
      <c r="G479" t="str">
        <f t="shared" si="31"/>
        <v>BIL</v>
      </c>
      <c r="H479" t="str">
        <f t="shared" si="32"/>
        <v>NoCo</v>
      </c>
    </row>
    <row r="480" spans="1:8" x14ac:dyDescent="0.2">
      <c r="A480" t="s">
        <v>515</v>
      </c>
      <c r="B480" s="7">
        <v>45178.753472222226</v>
      </c>
      <c r="C480" t="s">
        <v>34</v>
      </c>
      <c r="D480" t="s">
        <v>31</v>
      </c>
      <c r="E480" t="str">
        <f t="shared" si="29"/>
        <v>Glacier</v>
      </c>
      <c r="F480" t="str">
        <f t="shared" si="30"/>
        <v>Missoula</v>
      </c>
      <c r="G480" t="str">
        <f t="shared" si="31"/>
        <v>GRR</v>
      </c>
      <c r="H480" t="str">
        <f t="shared" si="32"/>
        <v>MIS</v>
      </c>
    </row>
    <row r="481" spans="1:8" x14ac:dyDescent="0.2">
      <c r="A481" t="s">
        <v>516</v>
      </c>
      <c r="B481" s="7">
        <v>45178.753472222226</v>
      </c>
      <c r="C481" t="s">
        <v>29</v>
      </c>
      <c r="D481" t="s">
        <v>37</v>
      </c>
      <c r="E481" t="str">
        <f t="shared" si="29"/>
        <v>Ogden</v>
      </c>
      <c r="F481" t="str">
        <f t="shared" si="30"/>
        <v>Idaho Falls</v>
      </c>
      <c r="G481" t="str">
        <f t="shared" si="31"/>
        <v>OGD</v>
      </c>
      <c r="H481" t="str">
        <f t="shared" si="32"/>
        <v>IDF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5B6C-8111-684A-B84F-0F4AD4D11118}">
  <dimension ref="A1:L80"/>
  <sheetViews>
    <sheetView showGridLines="0" topLeftCell="B1" workbookViewId="0">
      <selection activeCell="H25" sqref="H25"/>
    </sheetView>
  </sheetViews>
  <sheetFormatPr baseColWidth="10" defaultRowHeight="16" x14ac:dyDescent="0.2"/>
  <cols>
    <col min="2" max="2" width="14.1640625" bestFit="1" customWidth="1"/>
    <col min="3" max="3" width="43.6640625" bestFit="1" customWidth="1"/>
    <col min="4" max="4" width="41.33203125" bestFit="1" customWidth="1"/>
    <col min="7" max="7" width="4.83203125" bestFit="1" customWidth="1"/>
    <col min="8" max="8" width="27.33203125" bestFit="1" customWidth="1"/>
    <col min="9" max="9" width="28.5" bestFit="1" customWidth="1"/>
    <col min="10" max="10" width="10.1640625" bestFit="1" customWidth="1"/>
    <col min="11" max="11" width="8.83203125" customWidth="1"/>
    <col min="12" max="12" width="41.33203125" bestFit="1" customWidth="1"/>
  </cols>
  <sheetData>
    <row r="1" spans="1:12" ht="17" thickBot="1" x14ac:dyDescent="0.25">
      <c r="A1" t="s">
        <v>528</v>
      </c>
    </row>
    <row r="2" spans="1:12" ht="20" thickBot="1" x14ac:dyDescent="0.3">
      <c r="B2" s="18" t="s">
        <v>527</v>
      </c>
      <c r="C2" s="19" t="s">
        <v>560</v>
      </c>
      <c r="D2" s="20" t="s">
        <v>561</v>
      </c>
      <c r="G2" s="48" t="s">
        <v>539</v>
      </c>
      <c r="H2" s="49"/>
      <c r="I2" s="49"/>
      <c r="J2" s="49"/>
      <c r="K2" s="49"/>
      <c r="L2" s="50"/>
    </row>
    <row r="3" spans="1:12" x14ac:dyDescent="0.2">
      <c r="B3" s="15" t="s">
        <v>0</v>
      </c>
      <c r="C3" s="2" t="s">
        <v>529</v>
      </c>
      <c r="D3" s="16" t="s">
        <v>545</v>
      </c>
      <c r="G3" s="25" t="s">
        <v>531</v>
      </c>
      <c r="H3" s="26" t="s">
        <v>532</v>
      </c>
      <c r="I3" s="27" t="s">
        <v>533</v>
      </c>
      <c r="J3" s="25" t="s">
        <v>562</v>
      </c>
      <c r="K3" s="26" t="s">
        <v>532</v>
      </c>
      <c r="L3" s="27" t="s">
        <v>533</v>
      </c>
    </row>
    <row r="4" spans="1:12" x14ac:dyDescent="0.2">
      <c r="B4" s="15" t="s">
        <v>1</v>
      </c>
      <c r="C4" s="13" t="s">
        <v>541</v>
      </c>
      <c r="D4" s="16" t="s">
        <v>546</v>
      </c>
      <c r="G4" s="28">
        <v>21</v>
      </c>
      <c r="H4" s="2"/>
      <c r="I4" s="29" t="s">
        <v>538</v>
      </c>
      <c r="J4" s="45">
        <v>5</v>
      </c>
      <c r="K4" s="45"/>
      <c r="L4" s="45"/>
    </row>
    <row r="5" spans="1:12" x14ac:dyDescent="0.2">
      <c r="B5" s="15" t="s">
        <v>11</v>
      </c>
      <c r="C5" s="2" t="s">
        <v>529</v>
      </c>
      <c r="D5" s="16" t="s">
        <v>547</v>
      </c>
      <c r="G5" s="28">
        <v>22</v>
      </c>
      <c r="H5" s="2"/>
      <c r="I5" s="29" t="s">
        <v>538</v>
      </c>
      <c r="J5" s="28">
        <v>6</v>
      </c>
      <c r="K5" s="2"/>
      <c r="L5" s="29" t="s">
        <v>7</v>
      </c>
    </row>
    <row r="6" spans="1:12" x14ac:dyDescent="0.2">
      <c r="B6" s="15" t="s">
        <v>2</v>
      </c>
      <c r="C6" s="14">
        <v>45111</v>
      </c>
      <c r="D6" s="16" t="s">
        <v>544</v>
      </c>
      <c r="G6" s="28">
        <v>23</v>
      </c>
      <c r="H6" s="2"/>
      <c r="I6" s="29" t="s">
        <v>553</v>
      </c>
      <c r="J6" s="28">
        <v>7</v>
      </c>
      <c r="K6" s="2"/>
      <c r="L6" s="29" t="s">
        <v>7</v>
      </c>
    </row>
    <row r="7" spans="1:12" x14ac:dyDescent="0.2">
      <c r="B7" s="15" t="s">
        <v>3</v>
      </c>
      <c r="C7" s="14">
        <v>45111</v>
      </c>
      <c r="D7" s="16" t="s">
        <v>529</v>
      </c>
      <c r="G7" s="28">
        <v>24</v>
      </c>
      <c r="H7" s="2"/>
      <c r="I7" s="29" t="s">
        <v>553</v>
      </c>
      <c r="J7" s="28">
        <v>8</v>
      </c>
      <c r="K7" s="2"/>
      <c r="L7" s="29" t="s">
        <v>537</v>
      </c>
    </row>
    <row r="8" spans="1:12" x14ac:dyDescent="0.2">
      <c r="B8" s="15" t="s">
        <v>4</v>
      </c>
      <c r="C8" s="14">
        <v>45111</v>
      </c>
      <c r="D8" s="16" t="s">
        <v>529</v>
      </c>
      <c r="G8" s="28">
        <v>25</v>
      </c>
      <c r="H8" s="2"/>
      <c r="I8" s="29" t="s">
        <v>554</v>
      </c>
      <c r="J8" s="28">
        <v>9</v>
      </c>
      <c r="K8" s="2"/>
      <c r="L8" s="29" t="s">
        <v>537</v>
      </c>
    </row>
    <row r="9" spans="1:12" x14ac:dyDescent="0.2">
      <c r="B9" s="15" t="s">
        <v>5</v>
      </c>
      <c r="C9" s="2" t="s">
        <v>542</v>
      </c>
      <c r="D9" s="16" t="s">
        <v>548</v>
      </c>
      <c r="G9" s="28">
        <v>26</v>
      </c>
      <c r="H9" s="2"/>
      <c r="I9" s="29" t="s">
        <v>554</v>
      </c>
      <c r="J9" s="28">
        <v>10</v>
      </c>
      <c r="K9" s="2"/>
      <c r="L9" s="29" t="s">
        <v>537</v>
      </c>
    </row>
    <row r="10" spans="1:12" ht="17" thickBot="1" x14ac:dyDescent="0.25">
      <c r="B10" s="15" t="s">
        <v>12</v>
      </c>
      <c r="C10" s="2" t="s">
        <v>543</v>
      </c>
      <c r="D10" s="17" t="s">
        <v>549</v>
      </c>
      <c r="G10" s="39">
        <v>27</v>
      </c>
      <c r="H10" s="40"/>
      <c r="I10" s="41" t="s">
        <v>537</v>
      </c>
      <c r="J10" s="28">
        <v>11</v>
      </c>
      <c r="K10" s="2"/>
      <c r="L10" s="29" t="s">
        <v>537</v>
      </c>
    </row>
    <row r="11" spans="1:12" x14ac:dyDescent="0.2">
      <c r="B11" s="15" t="s">
        <v>6</v>
      </c>
      <c r="C11" s="2" t="s">
        <v>529</v>
      </c>
      <c r="D11" s="16" t="s">
        <v>550</v>
      </c>
      <c r="G11" s="25" t="s">
        <v>530</v>
      </c>
      <c r="H11" s="26" t="s">
        <v>532</v>
      </c>
      <c r="I11" s="27" t="s">
        <v>533</v>
      </c>
      <c r="J11" s="42">
        <v>12</v>
      </c>
      <c r="K11" s="43"/>
      <c r="L11" s="44" t="s">
        <v>7</v>
      </c>
    </row>
    <row r="12" spans="1:12" x14ac:dyDescent="0.2">
      <c r="B12" s="21" t="s">
        <v>13</v>
      </c>
      <c r="C12" s="22" t="s">
        <v>563</v>
      </c>
      <c r="D12" s="23" t="s">
        <v>551</v>
      </c>
      <c r="G12" s="28">
        <v>1</v>
      </c>
      <c r="H12" s="2"/>
      <c r="I12" s="29" t="s">
        <v>9</v>
      </c>
      <c r="J12" s="28">
        <v>14</v>
      </c>
      <c r="K12" s="2"/>
      <c r="L12" s="29" t="s">
        <v>14</v>
      </c>
    </row>
    <row r="13" spans="1:12" x14ac:dyDescent="0.2">
      <c r="G13" s="42">
        <v>3</v>
      </c>
      <c r="H13" s="43"/>
      <c r="I13" s="44" t="s">
        <v>535</v>
      </c>
      <c r="J13" s="28">
        <v>15</v>
      </c>
      <c r="K13" s="2"/>
      <c r="L13" s="29" t="s">
        <v>14</v>
      </c>
    </row>
    <row r="14" spans="1:12" x14ac:dyDescent="0.2">
      <c r="G14" s="28">
        <v>4</v>
      </c>
      <c r="H14" s="2" t="s">
        <v>536</v>
      </c>
      <c r="I14" s="29"/>
      <c r="J14" s="28">
        <v>16</v>
      </c>
      <c r="K14" s="2"/>
      <c r="L14" s="29" t="s">
        <v>552</v>
      </c>
    </row>
    <row r="15" spans="1:12" x14ac:dyDescent="0.2">
      <c r="G15" s="28">
        <v>8</v>
      </c>
      <c r="H15" s="2"/>
      <c r="I15" s="29" t="s">
        <v>10</v>
      </c>
      <c r="J15" s="28">
        <v>17</v>
      </c>
      <c r="K15" s="2"/>
      <c r="L15" s="29" t="s">
        <v>552</v>
      </c>
    </row>
    <row r="16" spans="1:12" x14ac:dyDescent="0.2">
      <c r="G16" s="45">
        <v>10</v>
      </c>
      <c r="H16" s="45"/>
      <c r="I16" s="45"/>
      <c r="J16" s="28">
        <v>18</v>
      </c>
      <c r="K16" s="2"/>
      <c r="L16" s="29" t="s">
        <v>552</v>
      </c>
    </row>
    <row r="17" spans="7:12" x14ac:dyDescent="0.2">
      <c r="G17" s="28">
        <v>14</v>
      </c>
      <c r="H17" s="2" t="s">
        <v>9</v>
      </c>
      <c r="I17" s="29"/>
      <c r="J17" s="42">
        <v>19</v>
      </c>
      <c r="K17" s="43"/>
      <c r="L17" s="44" t="s">
        <v>8</v>
      </c>
    </row>
    <row r="18" spans="7:12" x14ac:dyDescent="0.2">
      <c r="G18" s="28">
        <v>15</v>
      </c>
      <c r="H18" s="2" t="s">
        <v>9</v>
      </c>
      <c r="I18" s="29"/>
      <c r="J18" s="28">
        <v>20</v>
      </c>
      <c r="K18" s="2"/>
      <c r="L18" s="29" t="s">
        <v>8</v>
      </c>
    </row>
    <row r="19" spans="7:12" x14ac:dyDescent="0.2">
      <c r="G19" s="28">
        <v>16</v>
      </c>
      <c r="H19" s="2" t="s">
        <v>555</v>
      </c>
      <c r="I19" s="29"/>
      <c r="J19" s="28">
        <v>21</v>
      </c>
      <c r="K19" s="2"/>
      <c r="L19" s="29" t="s">
        <v>8</v>
      </c>
    </row>
    <row r="20" spans="7:12" x14ac:dyDescent="0.2">
      <c r="G20" s="46">
        <v>17</v>
      </c>
      <c r="H20" s="45"/>
      <c r="I20" s="45"/>
      <c r="J20" s="28">
        <v>22</v>
      </c>
      <c r="K20" s="2"/>
      <c r="L20" s="29" t="s">
        <v>559</v>
      </c>
    </row>
    <row r="21" spans="7:12" x14ac:dyDescent="0.2">
      <c r="G21" s="28">
        <v>22</v>
      </c>
      <c r="H21" s="2"/>
      <c r="I21" s="29" t="s">
        <v>8</v>
      </c>
      <c r="J21" s="28">
        <v>23</v>
      </c>
      <c r="K21" s="2"/>
      <c r="L21" s="29" t="s">
        <v>556</v>
      </c>
    </row>
    <row r="22" spans="7:12" x14ac:dyDescent="0.2">
      <c r="G22" s="45">
        <v>24</v>
      </c>
      <c r="H22" s="45"/>
      <c r="I22" s="45"/>
      <c r="J22" s="28">
        <v>24</v>
      </c>
      <c r="K22" s="2"/>
      <c r="L22" s="29" t="s">
        <v>556</v>
      </c>
    </row>
    <row r="23" spans="7:12" x14ac:dyDescent="0.2">
      <c r="G23" s="28">
        <v>26</v>
      </c>
      <c r="H23" s="2"/>
      <c r="I23" s="29" t="s">
        <v>7</v>
      </c>
      <c r="J23" s="28">
        <v>25</v>
      </c>
      <c r="K23" s="2"/>
      <c r="L23" s="29" t="s">
        <v>556</v>
      </c>
    </row>
    <row r="24" spans="7:12" x14ac:dyDescent="0.2">
      <c r="G24" s="28">
        <v>27</v>
      </c>
      <c r="H24" s="2"/>
      <c r="I24" s="29" t="s">
        <v>7</v>
      </c>
      <c r="J24" s="42">
        <v>26</v>
      </c>
      <c r="K24" s="43"/>
      <c r="L24" s="44"/>
    </row>
    <row r="25" spans="7:12" x14ac:dyDescent="0.2">
      <c r="G25" s="28">
        <v>28</v>
      </c>
      <c r="H25" s="2" t="s">
        <v>9</v>
      </c>
      <c r="I25" s="29" t="s">
        <v>7</v>
      </c>
      <c r="J25" s="28">
        <v>27</v>
      </c>
      <c r="K25" s="2" t="s">
        <v>9</v>
      </c>
      <c r="L25" s="29"/>
    </row>
    <row r="26" spans="7:12" x14ac:dyDescent="0.2">
      <c r="G26" s="28">
        <v>29</v>
      </c>
      <c r="H26" s="2" t="s">
        <v>9</v>
      </c>
      <c r="I26" s="29" t="s">
        <v>7</v>
      </c>
      <c r="J26" s="28">
        <v>28</v>
      </c>
      <c r="K26" s="2" t="s">
        <v>9</v>
      </c>
      <c r="L26" s="29"/>
    </row>
    <row r="27" spans="7:12" ht="17" thickBot="1" x14ac:dyDescent="0.25">
      <c r="G27" s="30">
        <v>30</v>
      </c>
      <c r="H27" s="33"/>
      <c r="I27" s="32" t="s">
        <v>7</v>
      </c>
      <c r="J27" s="28">
        <v>29</v>
      </c>
      <c r="K27" s="2" t="s">
        <v>9</v>
      </c>
      <c r="L27" s="29"/>
    </row>
    <row r="28" spans="7:12" ht="17" thickBot="1" x14ac:dyDescent="0.25">
      <c r="G28" s="25" t="s">
        <v>534</v>
      </c>
      <c r="H28" s="26" t="s">
        <v>532</v>
      </c>
      <c r="I28" s="27" t="s">
        <v>533</v>
      </c>
      <c r="J28" s="30">
        <v>31</v>
      </c>
      <c r="K28" s="33"/>
      <c r="L28" s="32" t="s">
        <v>9</v>
      </c>
    </row>
    <row r="29" spans="7:12" x14ac:dyDescent="0.2">
      <c r="G29" s="42">
        <v>1</v>
      </c>
      <c r="H29" s="43"/>
      <c r="I29" s="44" t="s">
        <v>7</v>
      </c>
      <c r="J29" s="25" t="s">
        <v>557</v>
      </c>
      <c r="K29" s="26" t="s">
        <v>532</v>
      </c>
      <c r="L29" s="27" t="s">
        <v>533</v>
      </c>
    </row>
    <row r="30" spans="7:12" x14ac:dyDescent="0.2">
      <c r="G30" s="28">
        <v>4</v>
      </c>
      <c r="H30" s="2" t="s">
        <v>540</v>
      </c>
      <c r="I30" s="29" t="s">
        <v>558</v>
      </c>
      <c r="J30" s="42">
        <v>2</v>
      </c>
      <c r="K30" s="43" t="s">
        <v>12</v>
      </c>
      <c r="L30" s="44"/>
    </row>
    <row r="31" spans="7:12" x14ac:dyDescent="0.2">
      <c r="G31" s="45">
        <v>8</v>
      </c>
      <c r="H31" s="45"/>
      <c r="I31" s="45"/>
      <c r="J31" s="28">
        <v>4</v>
      </c>
      <c r="K31" s="2"/>
      <c r="L31" s="29" t="s">
        <v>7</v>
      </c>
    </row>
    <row r="32" spans="7:12" x14ac:dyDescent="0.2">
      <c r="G32" s="45">
        <v>15</v>
      </c>
      <c r="H32" s="45"/>
      <c r="I32" s="45"/>
      <c r="J32" s="28">
        <v>5</v>
      </c>
      <c r="K32" s="2"/>
      <c r="L32" s="29" t="s">
        <v>7</v>
      </c>
    </row>
    <row r="33" spans="7:12" x14ac:dyDescent="0.2">
      <c r="G33" s="28">
        <v>16</v>
      </c>
      <c r="H33" s="2"/>
      <c r="I33" s="29" t="s">
        <v>8</v>
      </c>
      <c r="J33" s="28">
        <v>6</v>
      </c>
      <c r="K33" s="2"/>
      <c r="L33" s="29" t="s">
        <v>7</v>
      </c>
    </row>
    <row r="34" spans="7:12" x14ac:dyDescent="0.2">
      <c r="G34" s="28">
        <v>17</v>
      </c>
      <c r="H34" s="2"/>
      <c r="I34" s="29" t="s">
        <v>8</v>
      </c>
      <c r="J34" s="28">
        <v>7</v>
      </c>
      <c r="K34" s="2"/>
      <c r="L34" s="29" t="s">
        <v>7</v>
      </c>
    </row>
    <row r="35" spans="7:12" ht="17" thickBot="1" x14ac:dyDescent="0.25">
      <c r="G35" s="28">
        <v>18</v>
      </c>
      <c r="H35" s="2"/>
      <c r="I35" s="29" t="s">
        <v>8</v>
      </c>
      <c r="J35" s="30">
        <v>8</v>
      </c>
      <c r="K35" s="33"/>
      <c r="L35" s="32" t="s">
        <v>7</v>
      </c>
    </row>
    <row r="36" spans="7:12" x14ac:dyDescent="0.2">
      <c r="G36" s="28">
        <v>19</v>
      </c>
      <c r="H36" s="24"/>
      <c r="I36" s="29" t="s">
        <v>8</v>
      </c>
    </row>
    <row r="37" spans="7:12" x14ac:dyDescent="0.2">
      <c r="G37" s="28">
        <v>20</v>
      </c>
      <c r="H37" s="24"/>
      <c r="I37" s="29" t="s">
        <v>8</v>
      </c>
    </row>
    <row r="38" spans="7:12" x14ac:dyDescent="0.2">
      <c r="G38" s="45">
        <v>22</v>
      </c>
      <c r="H38" s="45"/>
      <c r="I38" s="45"/>
    </row>
    <row r="39" spans="7:12" ht="17" thickBot="1" x14ac:dyDescent="0.25">
      <c r="G39" s="30">
        <v>24</v>
      </c>
      <c r="H39" s="31"/>
      <c r="I39" s="32" t="s">
        <v>10</v>
      </c>
    </row>
    <row r="40" spans="7:12" x14ac:dyDescent="0.2">
      <c r="G40" s="46">
        <v>29</v>
      </c>
      <c r="H40" s="45"/>
      <c r="I40" s="45"/>
    </row>
    <row r="80" spans="2:4" x14ac:dyDescent="0.2">
      <c r="B80" s="1"/>
      <c r="C80" s="1"/>
      <c r="D80" s="1"/>
    </row>
  </sheetData>
  <mergeCells count="1">
    <mergeCell ref="G2:L2"/>
  </mergeCells>
  <pageMargins left="0.7" right="0.7" top="0.75" bottom="0.75" header="0.3" footer="0.3"/>
  <ignoredErrors>
    <ignoredError sqref="D5 D10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Date Preferences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Holtz</dc:creator>
  <cp:lastModifiedBy>Microsoft Office User</cp:lastModifiedBy>
  <dcterms:created xsi:type="dcterms:W3CDTF">2023-04-29T22:23:53Z</dcterms:created>
  <dcterms:modified xsi:type="dcterms:W3CDTF">2023-09-01T14:23:50Z</dcterms:modified>
</cp:coreProperties>
</file>