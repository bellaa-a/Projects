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z/Documents/Baseball_Scheduling/pioneer-league-2024/"/>
    </mc:Choice>
  </mc:AlternateContent>
  <xr:revisionPtr revIDLastSave="0" documentId="13_ncr:1_{8CC4986B-857A-FE42-9905-211A9222BD82}" xr6:coauthVersionLast="47" xr6:coauthVersionMax="47" xr10:uidLastSave="{00000000-0000-0000-0000-000000000000}"/>
  <bookViews>
    <workbookView xWindow="-14740" yWindow="-18000" windowWidth="28800" windowHeight="18000" xr2:uid="{9E3F0C73-6AB0-B14F-8ECF-73E12B93D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J20" i="1"/>
  <c r="K20" i="1"/>
  <c r="L20" i="1"/>
  <c r="M20" i="1"/>
  <c r="N20" i="1"/>
  <c r="D21" i="1"/>
  <c r="E21" i="1"/>
  <c r="O21" i="1" s="1"/>
  <c r="F21" i="1"/>
  <c r="F33" i="1" s="1"/>
  <c r="G21" i="1"/>
  <c r="G32" i="1" s="1"/>
  <c r="H21" i="1"/>
  <c r="H32" i="1" s="1"/>
  <c r="I21" i="1"/>
  <c r="J21" i="1"/>
  <c r="K21" i="1"/>
  <c r="L21" i="1"/>
  <c r="M21" i="1"/>
  <c r="M33" i="1" s="1"/>
  <c r="N21" i="1"/>
  <c r="N33" i="1" s="1"/>
  <c r="D22" i="1"/>
  <c r="P22" i="1" s="1"/>
  <c r="E22" i="1"/>
  <c r="E32" i="1" s="1"/>
  <c r="F22" i="1"/>
  <c r="G22" i="1"/>
  <c r="H22" i="1"/>
  <c r="I22" i="1"/>
  <c r="J22" i="1"/>
  <c r="K22" i="1"/>
  <c r="K33" i="1" s="1"/>
  <c r="L22" i="1"/>
  <c r="L33" i="1" s="1"/>
  <c r="M22" i="1"/>
  <c r="M32" i="1" s="1"/>
  <c r="N22" i="1"/>
  <c r="D23" i="1"/>
  <c r="E23" i="1"/>
  <c r="F23" i="1"/>
  <c r="G23" i="1"/>
  <c r="H23" i="1"/>
  <c r="I23" i="1"/>
  <c r="I32" i="1" s="1"/>
  <c r="J23" i="1"/>
  <c r="P23" i="1" s="1"/>
  <c r="K23" i="1"/>
  <c r="L23" i="1"/>
  <c r="M23" i="1"/>
  <c r="N23" i="1"/>
  <c r="D24" i="1"/>
  <c r="E24" i="1"/>
  <c r="F24" i="1"/>
  <c r="G24" i="1"/>
  <c r="H24" i="1"/>
  <c r="I24" i="1"/>
  <c r="J24" i="1"/>
  <c r="K24" i="1"/>
  <c r="L24" i="1"/>
  <c r="M24" i="1"/>
  <c r="N24" i="1"/>
  <c r="D25" i="1"/>
  <c r="E25" i="1"/>
  <c r="F25" i="1"/>
  <c r="G25" i="1"/>
  <c r="H25" i="1"/>
  <c r="I25" i="1"/>
  <c r="J25" i="1"/>
  <c r="K25" i="1"/>
  <c r="L25" i="1"/>
  <c r="M25" i="1"/>
  <c r="N25" i="1"/>
  <c r="D26" i="1"/>
  <c r="E26" i="1"/>
  <c r="F26" i="1"/>
  <c r="G26" i="1"/>
  <c r="P26" i="1" s="1"/>
  <c r="H26" i="1"/>
  <c r="O26" i="1" s="1"/>
  <c r="I26" i="1"/>
  <c r="J26" i="1"/>
  <c r="K26" i="1"/>
  <c r="L26" i="1"/>
  <c r="M26" i="1"/>
  <c r="N26" i="1"/>
  <c r="D27" i="1"/>
  <c r="E27" i="1"/>
  <c r="F27" i="1"/>
  <c r="G27" i="1"/>
  <c r="H27" i="1"/>
  <c r="I27" i="1"/>
  <c r="J27" i="1"/>
  <c r="K27" i="1"/>
  <c r="L27" i="1"/>
  <c r="M27" i="1"/>
  <c r="N27" i="1"/>
  <c r="D28" i="1"/>
  <c r="E28" i="1"/>
  <c r="F28" i="1"/>
  <c r="G28" i="1"/>
  <c r="H28" i="1"/>
  <c r="I28" i="1"/>
  <c r="J28" i="1"/>
  <c r="K28" i="1"/>
  <c r="K32" i="1" s="1"/>
  <c r="L28" i="1"/>
  <c r="M28" i="1"/>
  <c r="N28" i="1"/>
  <c r="D29" i="1"/>
  <c r="E29" i="1"/>
  <c r="P29" i="1" s="1"/>
  <c r="F29" i="1"/>
  <c r="G29" i="1"/>
  <c r="H29" i="1"/>
  <c r="I29" i="1"/>
  <c r="J29" i="1"/>
  <c r="K29" i="1"/>
  <c r="L29" i="1"/>
  <c r="M29" i="1"/>
  <c r="N29" i="1"/>
  <c r="D30" i="1"/>
  <c r="P30" i="1" s="1"/>
  <c r="E30" i="1"/>
  <c r="F30" i="1"/>
  <c r="G30" i="1"/>
  <c r="H30" i="1"/>
  <c r="I30" i="1"/>
  <c r="J30" i="1"/>
  <c r="K30" i="1"/>
  <c r="L30" i="1"/>
  <c r="M30" i="1"/>
  <c r="N30" i="1"/>
  <c r="D31" i="1"/>
  <c r="E31" i="1"/>
  <c r="F31" i="1"/>
  <c r="G31" i="1"/>
  <c r="H31" i="1"/>
  <c r="I31" i="1"/>
  <c r="J31" i="1"/>
  <c r="P31" i="1" s="1"/>
  <c r="K31" i="1"/>
  <c r="L31" i="1"/>
  <c r="M31" i="1"/>
  <c r="N31" i="1"/>
  <c r="C21" i="1"/>
  <c r="C22" i="1"/>
  <c r="C23" i="1"/>
  <c r="C32" i="1" s="1"/>
  <c r="C24" i="1"/>
  <c r="P24" i="1" s="1"/>
  <c r="C25" i="1"/>
  <c r="C26" i="1"/>
  <c r="C27" i="1"/>
  <c r="C28" i="1"/>
  <c r="C29" i="1"/>
  <c r="C30" i="1"/>
  <c r="C31" i="1"/>
  <c r="C20" i="1"/>
  <c r="G33" i="1"/>
  <c r="J32" i="1"/>
  <c r="O31" i="1"/>
  <c r="O23" i="1"/>
  <c r="C16" i="1"/>
  <c r="C15" i="1"/>
  <c r="D14" i="1"/>
  <c r="P14" i="1" s="1"/>
  <c r="D7" i="1"/>
  <c r="D13" i="1"/>
  <c r="D10" i="1"/>
  <c r="D6" i="1"/>
  <c r="D11" i="1"/>
  <c r="D8" i="1"/>
  <c r="P8" i="1" s="1"/>
  <c r="D9" i="1"/>
  <c r="D5" i="1"/>
  <c r="D12" i="1"/>
  <c r="N4" i="1"/>
  <c r="N16" i="1" s="1"/>
  <c r="G4" i="1"/>
  <c r="M16" i="1" s="1"/>
  <c r="M4" i="1"/>
  <c r="L16" i="1" s="1"/>
  <c r="J4" i="1"/>
  <c r="K16" i="1" s="1"/>
  <c r="F4" i="1"/>
  <c r="J15" i="1" s="1"/>
  <c r="K4" i="1"/>
  <c r="I15" i="1" s="1"/>
  <c r="H4" i="1"/>
  <c r="H15" i="1" s="1"/>
  <c r="I4" i="1"/>
  <c r="G15" i="1" s="1"/>
  <c r="E4" i="1"/>
  <c r="F16" i="1" s="1"/>
  <c r="L4" i="1"/>
  <c r="L32" i="1" l="1"/>
  <c r="J33" i="1"/>
  <c r="O29" i="1"/>
  <c r="F32" i="1"/>
  <c r="N32" i="1"/>
  <c r="P28" i="1"/>
  <c r="D32" i="1"/>
  <c r="P21" i="1"/>
  <c r="D33" i="1"/>
  <c r="P27" i="1"/>
  <c r="H33" i="1"/>
  <c r="I33" i="1"/>
  <c r="O22" i="1"/>
  <c r="O30" i="1"/>
  <c r="E33" i="1"/>
  <c r="P25" i="1"/>
  <c r="C33" i="1"/>
  <c r="O27" i="1"/>
  <c r="O24" i="1"/>
  <c r="O28" i="1"/>
  <c r="O25" i="1"/>
  <c r="P20" i="1"/>
  <c r="O20" i="1"/>
  <c r="P10" i="1"/>
  <c r="P12" i="1"/>
  <c r="P3" i="1"/>
  <c r="O3" i="1"/>
  <c r="O14" i="1"/>
  <c r="E16" i="1"/>
  <c r="P13" i="1"/>
  <c r="P11" i="1"/>
  <c r="O9" i="1"/>
  <c r="P7" i="1"/>
  <c r="P6" i="1"/>
  <c r="E15" i="1"/>
  <c r="F15" i="1"/>
  <c r="K15" i="1"/>
  <c r="L15" i="1"/>
  <c r="M15" i="1"/>
  <c r="P9" i="1"/>
  <c r="O12" i="1"/>
  <c r="D16" i="1"/>
  <c r="N15" i="1"/>
  <c r="G16" i="1"/>
  <c r="O4" i="1"/>
  <c r="P4" i="1"/>
  <c r="O7" i="1"/>
  <c r="D15" i="1"/>
  <c r="J16" i="1"/>
  <c r="H16" i="1"/>
  <c r="O10" i="1"/>
  <c r="I16" i="1"/>
  <c r="O5" i="1"/>
  <c r="O13" i="1"/>
  <c r="P5" i="1"/>
  <c r="O8" i="1"/>
  <c r="O11" i="1"/>
  <c r="O6" i="1"/>
</calcChain>
</file>

<file path=xl/sharedStrings.xml><?xml version="1.0" encoding="utf-8"?>
<sst xmlns="http://schemas.openxmlformats.org/spreadsheetml/2006/main" count="96" uniqueCount="29">
  <si>
    <t>MILES</t>
  </si>
  <si>
    <t>OAK</t>
  </si>
  <si>
    <t>CAL</t>
  </si>
  <si>
    <t>BIL</t>
  </si>
  <si>
    <t>BOI</t>
  </si>
  <si>
    <t>GRR</t>
  </si>
  <si>
    <t>GJJ</t>
  </si>
  <si>
    <t>GFV</t>
  </si>
  <si>
    <t>IDF</t>
  </si>
  <si>
    <t>MIS</t>
  </si>
  <si>
    <t>NoCo</t>
  </si>
  <si>
    <t>OGD</t>
  </si>
  <si>
    <t>RMV</t>
  </si>
  <si>
    <t>MIN</t>
  </si>
  <si>
    <t>MAX</t>
  </si>
  <si>
    <t>Oakland</t>
  </si>
  <si>
    <t>X</t>
  </si>
  <si>
    <t>California</t>
  </si>
  <si>
    <t>Billings</t>
  </si>
  <si>
    <t>Boise</t>
  </si>
  <si>
    <t>Glacier</t>
  </si>
  <si>
    <t>Grand Junction</t>
  </si>
  <si>
    <t>Great Falls</t>
  </si>
  <si>
    <t>Idaho Falls</t>
  </si>
  <si>
    <t>Missoula</t>
  </si>
  <si>
    <t>Ogden</t>
  </si>
  <si>
    <t>Rocky Mountain</t>
  </si>
  <si>
    <t>TIME</t>
  </si>
  <si>
    <t>!8:00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</si>
</sst>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085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20" fontId="5" fillId="2" borderId="23" xfId="0" applyNumberFormat="1" applyFont="1" applyFill="1" applyBorder="1" applyAlignment="1">
      <alignment horizontal="center"/>
    </xf>
    <xf numFmtId="20" fontId="5" fillId="2" borderId="8" xfId="0" applyNumberFormat="1" applyFont="1" applyFill="1" applyBorder="1" applyAlignment="1">
      <alignment horizontal="center"/>
    </xf>
    <xf numFmtId="20" fontId="4" fillId="0" borderId="9" xfId="0" applyNumberFormat="1" applyFont="1" applyBorder="1" applyAlignment="1">
      <alignment horizontal="center"/>
    </xf>
    <xf numFmtId="20" fontId="4" fillId="0" borderId="10" xfId="0" applyNumberFormat="1" applyFont="1" applyBorder="1" applyAlignment="1">
      <alignment horizontal="center"/>
    </xf>
    <xf numFmtId="20" fontId="4" fillId="0" borderId="11" xfId="0" applyNumberFormat="1" applyFont="1" applyBorder="1" applyAlignment="1">
      <alignment horizontal="center"/>
    </xf>
    <xf numFmtId="20" fontId="4" fillId="0" borderId="12" xfId="0" applyNumberFormat="1" applyFont="1" applyBorder="1" applyAlignment="1">
      <alignment horizontal="center"/>
    </xf>
    <xf numFmtId="20" fontId="5" fillId="2" borderId="24" xfId="0" applyNumberFormat="1" applyFont="1" applyFill="1" applyBorder="1" applyAlignment="1">
      <alignment horizontal="center"/>
    </xf>
    <xf numFmtId="20" fontId="5" fillId="2" borderId="14" xfId="0" applyNumberFormat="1" applyFont="1" applyFill="1" applyBorder="1" applyAlignment="1">
      <alignment horizontal="center"/>
    </xf>
    <xf numFmtId="20" fontId="5" fillId="2" borderId="16" xfId="0" applyNumberFormat="1" applyFont="1" applyFill="1" applyBorder="1" applyAlignment="1">
      <alignment horizontal="center"/>
    </xf>
    <xf numFmtId="20" fontId="5" fillId="2" borderId="25" xfId="0" applyNumberFormat="1" applyFont="1" applyFill="1" applyBorder="1" applyAlignment="1">
      <alignment horizontal="center"/>
    </xf>
    <xf numFmtId="20" fontId="5" fillId="3" borderId="26" xfId="0" applyNumberFormat="1" applyFont="1" applyFill="1" applyBorder="1" applyAlignment="1">
      <alignment horizontal="center"/>
    </xf>
    <xf numFmtId="20" fontId="4" fillId="3" borderId="0" xfId="0" applyNumberFormat="1" applyFont="1" applyFill="1" applyAlignment="1">
      <alignment horizontal="center"/>
    </xf>
    <xf numFmtId="20" fontId="5" fillId="2" borderId="11" xfId="0" applyNumberFormat="1" applyFont="1" applyFill="1" applyBorder="1" applyAlignment="1">
      <alignment horizontal="center"/>
    </xf>
    <xf numFmtId="20" fontId="5" fillId="2" borderId="12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0" fontId="4" fillId="4" borderId="2" xfId="0" applyNumberFormat="1" applyFont="1" applyFill="1" applyBorder="1" applyAlignment="1">
      <alignment horizontal="center"/>
    </xf>
    <xf numFmtId="20" fontId="4" fillId="4" borderId="3" xfId="0" applyNumberFormat="1" applyFont="1" applyFill="1" applyBorder="1" applyAlignment="1">
      <alignment horizontal="center"/>
    </xf>
    <xf numFmtId="20" fontId="4" fillId="4" borderId="9" xfId="0" applyNumberFormat="1" applyFont="1" applyFill="1" applyBorder="1" applyAlignment="1">
      <alignment horizontal="center"/>
    </xf>
    <xf numFmtId="20" fontId="4" fillId="4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4" formatCode="hh:mm"/>
      <fill>
        <patternFill patternType="solid">
          <fgColor indexed="64"/>
          <bgColor rgb="FF60859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4" formatCode="hh:mm"/>
      <fill>
        <patternFill patternType="solid">
          <fgColor indexed="64"/>
          <bgColor rgb="FF608596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608596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EC7FB-F21E-9F4B-B203-D2F01E62D9B0}" name="Table517" displayName="Table517" ref="B2:P16" totalsRowShown="0" headerRowDxfId="39" dataDxfId="37" headerRowBorderDxfId="38" tableBorderDxfId="36" totalsRowBorderDxfId="35">
  <tableColumns count="15">
    <tableColumn id="1" xr3:uid="{FCC7CC58-7635-C043-9220-8ECE6F806BC8}" name="MILES" dataDxfId="34"/>
    <tableColumn id="2" xr3:uid="{222093D5-B8C7-FC44-975B-29EAAE609A3E}" name="OAK" dataDxfId="33"/>
    <tableColumn id="3" xr3:uid="{674B472D-F0C5-D643-82F5-E50081B49C30}" name="CAL" dataDxfId="32"/>
    <tableColumn id="4" xr3:uid="{D4E9162A-235C-994F-8E73-AE11EC422CAE}" name="BOI" dataDxfId="31"/>
    <tableColumn id="5" xr3:uid="{EDD9AD92-BF75-E84C-849F-EF7145BE8955}" name="IDF" dataDxfId="30"/>
    <tableColumn id="6" xr3:uid="{1D31E220-DD01-524D-BCA4-AA51D7392DAE}" name="OGD" dataDxfId="29"/>
    <tableColumn id="7" xr3:uid="{330707DF-122F-AB45-B382-27D72654C18E}" name="GJJ" dataDxfId="28"/>
    <tableColumn id="8" xr3:uid="{8A053668-BE22-CE44-B8D6-6FAE0161A694}" name="GRR" dataDxfId="27"/>
    <tableColumn id="9" xr3:uid="{E7CC1F7E-E9EC-ED42-944D-3D258F311BFE}" name="MIS" dataDxfId="26"/>
    <tableColumn id="10" xr3:uid="{E80BF0EA-6C02-3846-8C23-C10C11F0013A}" name="GFV" dataDxfId="25"/>
    <tableColumn id="11" xr3:uid="{9381BCAE-E1FA-0541-AB8E-CE4A5E5354C4}" name="BIL" dataDxfId="24"/>
    <tableColumn id="12" xr3:uid="{39627F65-D6D4-4846-8595-DB3CAEC6F94F}" name="NoCo" dataDxfId="23"/>
    <tableColumn id="13" xr3:uid="{D387B0F9-A043-A547-A53C-140DD9514DD6}" name="RMV" dataDxfId="22"/>
    <tableColumn id="14" xr3:uid="{6F7E63B5-2D40-144E-93E2-0A82757CD483}" name="MIN" dataDxfId="21"/>
    <tableColumn id="15" xr3:uid="{CD752BB1-936D-034B-AEFC-B1CC1B21D01E}" name="MAX" dataDxfId="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84645F-2242-E84B-B88A-A77C32A42620}" name="Table618" displayName="Table618" ref="B19:P33" totalsRowShown="0" headerRowDxfId="19" dataDxfId="17" headerRowBorderDxfId="18" tableBorderDxfId="16" totalsRowBorderDxfId="15">
  <tableColumns count="15">
    <tableColumn id="1" xr3:uid="{CBB156C2-FEA3-4E44-B6DA-766B1B2D5B44}" name="TIME" dataDxfId="14"/>
    <tableColumn id="2" xr3:uid="{16D12B94-C09E-D14C-AA52-F49D3D66A67C}" name="OAK" dataDxfId="13"/>
    <tableColumn id="3" xr3:uid="{AAD115BA-5AC0-3D4A-A403-9DC61AFC0C72}" name="CAL" dataDxfId="12"/>
    <tableColumn id="4" xr3:uid="{EB2AB9F0-D4B1-D64A-895D-A5DFCD3DADE8}" name="BOI" dataDxfId="11"/>
    <tableColumn id="5" xr3:uid="{F0D1DE04-49C0-CF48-ACE8-DF88C2D37E25}" name="IDF" dataDxfId="10"/>
    <tableColumn id="6" xr3:uid="{F82403A2-44C3-8F42-B5ED-8ADFD2259250}" name="OGD" dataDxfId="9"/>
    <tableColumn id="7" xr3:uid="{39E85E45-F7E5-9542-810A-CD4147CBF1E2}" name="GJJ" dataDxfId="8"/>
    <tableColumn id="8" xr3:uid="{1B30F70D-931A-9944-87AB-A4AA70FA7CED}" name="GRR" dataDxfId="7"/>
    <tableColumn id="9" xr3:uid="{4D24F2E2-2AAE-9742-807B-0C0830C3CBC9}" name="MIS" dataDxfId="6"/>
    <tableColumn id="10" xr3:uid="{85FA8FE6-D700-E048-8043-AD9B6A17FA4C}" name="GFV" dataDxfId="5"/>
    <tableColumn id="11" xr3:uid="{C29E7E68-2DEF-194B-B240-97CBA761AEDF}" name="BIL" dataDxfId="4"/>
    <tableColumn id="12" xr3:uid="{1415B72C-9E47-6644-9DC0-989DE7D5974F}" name="NoCo" dataDxfId="3"/>
    <tableColumn id="13" xr3:uid="{C605187D-E3B0-6943-AAF1-326F9BF25A40}" name="RMV" dataDxfId="2"/>
    <tableColumn id="14" xr3:uid="{7B2DDD6B-C340-784E-AD3B-452638ED3C7D}" name="MIN" dataDxfId="1"/>
    <tableColumn id="15" xr3:uid="{79EB9EF9-65BE-734A-B61E-F217738D8A69}" name="MAX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05A9-0BCD-1949-8C76-488DFF67243B}">
  <dimension ref="B1:AE33"/>
  <sheetViews>
    <sheetView showGridLines="0" tabSelected="1" zoomScale="70" zoomScaleNormal="70" workbookViewId="0">
      <selection activeCell="R35" sqref="R35"/>
    </sheetView>
  </sheetViews>
  <sheetFormatPr baseColWidth="10" defaultRowHeight="16" x14ac:dyDescent="0.2"/>
  <cols>
    <col min="2" max="2" width="17.6640625" bestFit="1" customWidth="1"/>
    <col min="3" max="16" width="9.83203125" customWidth="1"/>
  </cols>
  <sheetData>
    <row r="1" spans="2:16" ht="17" thickBot="1" x14ac:dyDescent="0.25"/>
    <row r="2" spans="2:16" ht="19" x14ac:dyDescent="0.25">
      <c r="B2" s="1" t="s">
        <v>0</v>
      </c>
      <c r="C2" s="2" t="s">
        <v>1</v>
      </c>
      <c r="D2" s="2" t="s">
        <v>2</v>
      </c>
      <c r="E2" s="49" t="s">
        <v>4</v>
      </c>
      <c r="F2" s="49" t="s">
        <v>8</v>
      </c>
      <c r="G2" s="49" t="s">
        <v>11</v>
      </c>
      <c r="H2" s="49" t="s">
        <v>6</v>
      </c>
      <c r="I2" s="49" t="s">
        <v>5</v>
      </c>
      <c r="J2" s="49" t="s">
        <v>9</v>
      </c>
      <c r="K2" s="49" t="s">
        <v>7</v>
      </c>
      <c r="L2" s="49" t="s">
        <v>3</v>
      </c>
      <c r="M2" s="49" t="s">
        <v>10</v>
      </c>
      <c r="N2" s="3" t="s">
        <v>12</v>
      </c>
      <c r="O2" s="4" t="s">
        <v>13</v>
      </c>
      <c r="P2" s="5" t="s">
        <v>14</v>
      </c>
    </row>
    <row r="3" spans="2:16" ht="19" x14ac:dyDescent="0.25">
      <c r="B3" s="6" t="s">
        <v>15</v>
      </c>
      <c r="C3" s="7" t="s">
        <v>16</v>
      </c>
      <c r="D3" s="7">
        <v>150</v>
      </c>
      <c r="E3" s="51">
        <v>633</v>
      </c>
      <c r="F3" s="51">
        <v>824</v>
      </c>
      <c r="G3" s="51">
        <v>764</v>
      </c>
      <c r="H3" s="51">
        <v>962</v>
      </c>
      <c r="I3" s="51">
        <v>1114</v>
      </c>
      <c r="J3" s="51">
        <v>973</v>
      </c>
      <c r="K3" s="51">
        <v>1184</v>
      </c>
      <c r="L3" s="51">
        <v>1159</v>
      </c>
      <c r="M3" s="51">
        <v>1202</v>
      </c>
      <c r="N3" s="8">
        <v>1315</v>
      </c>
      <c r="O3" s="9">
        <f>MIN(Table517[[#This Row],[OAK]:[NoCo]])</f>
        <v>150</v>
      </c>
      <c r="P3" s="10">
        <f>MAX(Table517[[#This Row],[OAK]:[NoCo]])</f>
        <v>1202</v>
      </c>
    </row>
    <row r="4" spans="2:16" ht="19" x14ac:dyDescent="0.25">
      <c r="B4" s="6" t="s">
        <v>17</v>
      </c>
      <c r="C4" s="11">
        <v>150</v>
      </c>
      <c r="D4" s="11" t="s">
        <v>16</v>
      </c>
      <c r="E4" s="11">
        <f>E3+100</f>
        <v>733</v>
      </c>
      <c r="F4" s="11">
        <f>F3+100</f>
        <v>924</v>
      </c>
      <c r="G4" s="11">
        <f>G3+100</f>
        <v>864</v>
      </c>
      <c r="H4" s="11">
        <f>H3+100</f>
        <v>1062</v>
      </c>
      <c r="I4" s="11">
        <f>I3+100</f>
        <v>1214</v>
      </c>
      <c r="J4" s="11">
        <f>J3+100</f>
        <v>1073</v>
      </c>
      <c r="K4" s="11">
        <f>K3+100</f>
        <v>1284</v>
      </c>
      <c r="L4" s="11">
        <f>L3+100</f>
        <v>1259</v>
      </c>
      <c r="M4" s="11">
        <f>M3+100</f>
        <v>1302</v>
      </c>
      <c r="N4" s="11">
        <f t="shared" ref="N4" si="0">N3+100</f>
        <v>1415</v>
      </c>
      <c r="O4" s="9">
        <f>MIN(Table517[[#This Row],[OAK]:[NoCo]])</f>
        <v>150</v>
      </c>
      <c r="P4" s="10">
        <f>MAX(Table517[[#This Row],[OAK]:[NoCo]])</f>
        <v>1302</v>
      </c>
    </row>
    <row r="5" spans="2:16" ht="19" x14ac:dyDescent="0.25">
      <c r="B5" s="49" t="s">
        <v>19</v>
      </c>
      <c r="C5" s="11">
        <v>634</v>
      </c>
      <c r="D5" s="11">
        <f>Table517[[#This Row],[OAK]]+100</f>
        <v>734</v>
      </c>
      <c r="E5" s="47" t="s">
        <v>16</v>
      </c>
      <c r="F5" s="47">
        <v>264</v>
      </c>
      <c r="G5" s="47">
        <v>312</v>
      </c>
      <c r="H5" s="47">
        <v>628</v>
      </c>
      <c r="I5" s="47">
        <v>482</v>
      </c>
      <c r="J5" s="47">
        <v>359</v>
      </c>
      <c r="K5" s="47">
        <v>585</v>
      </c>
      <c r="L5" s="47">
        <v>620</v>
      </c>
      <c r="M5" s="47">
        <v>778</v>
      </c>
      <c r="N5" s="12">
        <v>891</v>
      </c>
      <c r="O5" s="9">
        <f>MIN(Table517[[#This Row],[OAK]:[NoCo]])</f>
        <v>264</v>
      </c>
      <c r="P5" s="10">
        <f>MAX(Table517[[#This Row],[OAK]:[NoCo]])</f>
        <v>778</v>
      </c>
    </row>
    <row r="6" spans="2:16" ht="19" x14ac:dyDescent="0.25">
      <c r="B6" s="49" t="s">
        <v>23</v>
      </c>
      <c r="C6" s="11">
        <v>830</v>
      </c>
      <c r="D6" s="11">
        <f>Table517[[#This Row],[OAK]]+100</f>
        <v>930</v>
      </c>
      <c r="E6" s="11">
        <v>264</v>
      </c>
      <c r="F6" s="11" t="s">
        <v>16</v>
      </c>
      <c r="G6" s="11">
        <v>180</v>
      </c>
      <c r="H6" s="11">
        <v>496</v>
      </c>
      <c r="I6" s="11">
        <v>427</v>
      </c>
      <c r="J6" s="11">
        <v>314</v>
      </c>
      <c r="K6" s="11">
        <v>362</v>
      </c>
      <c r="L6" s="11">
        <v>338</v>
      </c>
      <c r="M6" s="11">
        <v>548</v>
      </c>
      <c r="N6" s="12">
        <v>661</v>
      </c>
      <c r="O6" s="9">
        <f>MIN(Table517[[#This Row],[OAK]:[NoCo]])</f>
        <v>180</v>
      </c>
      <c r="P6" s="10">
        <f>MAX(Table517[[#This Row],[OAK]:[NoCo]])</f>
        <v>930</v>
      </c>
    </row>
    <row r="7" spans="2:16" ht="19" x14ac:dyDescent="0.25">
      <c r="B7" s="46" t="s">
        <v>25</v>
      </c>
      <c r="C7" s="47">
        <v>768</v>
      </c>
      <c r="D7" s="47">
        <f>Table517[[#This Row],[OAK]]+100</f>
        <v>868</v>
      </c>
      <c r="E7" s="47">
        <v>311</v>
      </c>
      <c r="F7" s="47">
        <v>179</v>
      </c>
      <c r="G7" s="47" t="s">
        <v>16</v>
      </c>
      <c r="H7" s="47">
        <v>319</v>
      </c>
      <c r="I7" s="47">
        <v>604</v>
      </c>
      <c r="J7" s="47">
        <v>491</v>
      </c>
      <c r="K7" s="47">
        <v>539</v>
      </c>
      <c r="L7" s="47">
        <v>516</v>
      </c>
      <c r="M7" s="47">
        <v>469</v>
      </c>
      <c r="N7" s="48">
        <v>583</v>
      </c>
      <c r="O7" s="9">
        <f>MIN(Table517[[#This Row],[OAK]:[NoCo]])</f>
        <v>179</v>
      </c>
      <c r="P7" s="10">
        <f>MAX(Table517[[#This Row],[OAK]:[NoCo]])</f>
        <v>868</v>
      </c>
    </row>
    <row r="8" spans="2:16" ht="19" x14ac:dyDescent="0.25">
      <c r="B8" s="49" t="s">
        <v>21</v>
      </c>
      <c r="C8" s="11">
        <v>967</v>
      </c>
      <c r="D8" s="11">
        <f>Table517[[#This Row],[OAK]]+100</f>
        <v>1067</v>
      </c>
      <c r="E8" s="11">
        <v>627</v>
      </c>
      <c r="F8" s="11">
        <v>495</v>
      </c>
      <c r="G8" s="11">
        <v>319</v>
      </c>
      <c r="H8" s="11" t="s">
        <v>16</v>
      </c>
      <c r="I8" s="11">
        <v>920</v>
      </c>
      <c r="J8" s="11">
        <v>807</v>
      </c>
      <c r="K8" s="11">
        <v>855</v>
      </c>
      <c r="L8" s="11">
        <v>663</v>
      </c>
      <c r="M8" s="11">
        <v>298</v>
      </c>
      <c r="N8" s="12">
        <v>311</v>
      </c>
      <c r="O8" s="9">
        <f>MIN(Table517[[#This Row],[OAK]:[NoCo]])</f>
        <v>298</v>
      </c>
      <c r="P8" s="10">
        <f>MAX(Table517[[#This Row],[OAK]:[NoCo]])</f>
        <v>1067</v>
      </c>
    </row>
    <row r="9" spans="2:16" ht="19" x14ac:dyDescent="0.25">
      <c r="B9" s="46" t="s">
        <v>20</v>
      </c>
      <c r="C9" s="47">
        <v>1119</v>
      </c>
      <c r="D9" s="47">
        <f>Table517[[#This Row],[OAK]]+100</f>
        <v>1219</v>
      </c>
      <c r="E9" s="47">
        <v>482</v>
      </c>
      <c r="F9" s="47">
        <v>426</v>
      </c>
      <c r="G9" s="47">
        <v>603</v>
      </c>
      <c r="H9" s="47">
        <v>919</v>
      </c>
      <c r="I9" s="47" t="s">
        <v>16</v>
      </c>
      <c r="J9" s="47">
        <v>126</v>
      </c>
      <c r="K9" s="47">
        <v>225</v>
      </c>
      <c r="L9" s="47">
        <v>420</v>
      </c>
      <c r="M9" s="47">
        <v>948</v>
      </c>
      <c r="N9" s="48">
        <v>1061</v>
      </c>
      <c r="O9" s="9">
        <f>MIN(Table517[[#This Row],[OAK]:[NoCo]])</f>
        <v>126</v>
      </c>
      <c r="P9" s="10">
        <f>MAX(Table517[[#This Row],[OAK]:[NoCo]])</f>
        <v>1219</v>
      </c>
    </row>
    <row r="10" spans="2:16" ht="19" x14ac:dyDescent="0.25">
      <c r="B10" s="46" t="s">
        <v>24</v>
      </c>
      <c r="C10" s="47">
        <v>1070</v>
      </c>
      <c r="D10" s="47">
        <f>Table517[[#This Row],[OAK]]+100</f>
        <v>1170</v>
      </c>
      <c r="E10" s="47">
        <v>359</v>
      </c>
      <c r="F10" s="47">
        <v>313</v>
      </c>
      <c r="G10" s="47">
        <v>490</v>
      </c>
      <c r="H10" s="47">
        <v>806</v>
      </c>
      <c r="I10" s="47">
        <v>125</v>
      </c>
      <c r="J10" s="47" t="s">
        <v>16</v>
      </c>
      <c r="K10" s="47">
        <v>169</v>
      </c>
      <c r="L10" s="47">
        <v>345</v>
      </c>
      <c r="M10" s="47">
        <v>852</v>
      </c>
      <c r="N10" s="48">
        <v>965</v>
      </c>
      <c r="O10" s="9">
        <f>MIN(Table517[[#This Row],[OAK]:[NoCo]])</f>
        <v>125</v>
      </c>
      <c r="P10" s="10">
        <f>MAX(Table517[[#This Row],[OAK]:[NoCo]])</f>
        <v>1170</v>
      </c>
    </row>
    <row r="11" spans="2:16" ht="19" x14ac:dyDescent="0.25">
      <c r="B11" s="46" t="s">
        <v>22</v>
      </c>
      <c r="C11" s="47">
        <v>1189</v>
      </c>
      <c r="D11" s="47">
        <f>Table517[[#This Row],[OAK]]+100</f>
        <v>1289</v>
      </c>
      <c r="E11" s="47">
        <v>584</v>
      </c>
      <c r="F11" s="47">
        <v>362</v>
      </c>
      <c r="G11" s="47">
        <v>539</v>
      </c>
      <c r="H11" s="47">
        <v>855</v>
      </c>
      <c r="I11" s="47">
        <v>225</v>
      </c>
      <c r="J11" s="47">
        <v>169</v>
      </c>
      <c r="K11" s="47" t="s">
        <v>16</v>
      </c>
      <c r="L11" s="47">
        <v>218</v>
      </c>
      <c r="M11" s="47">
        <v>726</v>
      </c>
      <c r="N11" s="48">
        <v>839</v>
      </c>
      <c r="O11" s="9">
        <f>MIN(Table517[[#This Row],[OAK]:[NoCo]])</f>
        <v>169</v>
      </c>
      <c r="P11" s="10">
        <f>MAX(Table517[[#This Row],[OAK]:[NoCo]])</f>
        <v>1289</v>
      </c>
    </row>
    <row r="12" spans="2:16" ht="19" x14ac:dyDescent="0.25">
      <c r="B12" s="46" t="s">
        <v>18</v>
      </c>
      <c r="C12" s="47">
        <v>1164</v>
      </c>
      <c r="D12" s="47">
        <f>Table517[[#This Row],[OAK]]+100</f>
        <v>1264</v>
      </c>
      <c r="E12" s="47">
        <v>599</v>
      </c>
      <c r="F12" s="47">
        <v>340</v>
      </c>
      <c r="G12" s="47">
        <v>515</v>
      </c>
      <c r="H12" s="47">
        <v>662</v>
      </c>
      <c r="I12" s="47">
        <v>420</v>
      </c>
      <c r="J12" s="47">
        <v>345</v>
      </c>
      <c r="K12" s="47">
        <v>218</v>
      </c>
      <c r="L12" s="47" t="s">
        <v>16</v>
      </c>
      <c r="M12" s="47">
        <v>508</v>
      </c>
      <c r="N12" s="48">
        <v>621</v>
      </c>
      <c r="O12" s="9">
        <f>MIN(Table517[[#This Row],[OAK]:[NoCo]])</f>
        <v>218</v>
      </c>
      <c r="P12" s="10">
        <f>MAX(Table517[[#This Row],[OAK]:[NoCo]])</f>
        <v>1264</v>
      </c>
    </row>
    <row r="13" spans="2:16" ht="19" x14ac:dyDescent="0.25">
      <c r="B13" s="49" t="s">
        <v>10</v>
      </c>
      <c r="C13" s="11">
        <v>1201</v>
      </c>
      <c r="D13" s="11">
        <f>Table517[[#This Row],[OAK]]+100</f>
        <v>1301</v>
      </c>
      <c r="E13" s="47">
        <v>775</v>
      </c>
      <c r="F13" s="47">
        <v>546</v>
      </c>
      <c r="G13" s="47">
        <v>467</v>
      </c>
      <c r="H13" s="47">
        <v>298</v>
      </c>
      <c r="I13" s="47">
        <v>947</v>
      </c>
      <c r="J13" s="47">
        <v>851</v>
      </c>
      <c r="K13" s="47">
        <v>725</v>
      </c>
      <c r="L13" s="47">
        <v>507</v>
      </c>
      <c r="M13" s="47" t="s">
        <v>16</v>
      </c>
      <c r="N13" s="12">
        <v>126</v>
      </c>
      <c r="O13" s="9">
        <f>MIN(Table517[[#This Row],[OAK]:[NoCo]])</f>
        <v>298</v>
      </c>
      <c r="P13" s="10">
        <f>MAX(Table517[[#This Row],[OAK]:[NoCo]])</f>
        <v>1301</v>
      </c>
    </row>
    <row r="14" spans="2:16" ht="20" thickBot="1" x14ac:dyDescent="0.3">
      <c r="B14" s="50" t="s">
        <v>26</v>
      </c>
      <c r="C14" s="13">
        <v>1315</v>
      </c>
      <c r="D14" s="11">
        <f>Table517[[#This Row],[OAK]]+100</f>
        <v>1415</v>
      </c>
      <c r="E14" s="13">
        <v>889</v>
      </c>
      <c r="F14" s="14">
        <v>659</v>
      </c>
      <c r="G14" s="13">
        <v>580</v>
      </c>
      <c r="H14" s="13">
        <v>310</v>
      </c>
      <c r="I14" s="13">
        <v>1061</v>
      </c>
      <c r="J14" s="13">
        <v>965</v>
      </c>
      <c r="K14" s="13">
        <v>838</v>
      </c>
      <c r="L14" s="13">
        <v>621</v>
      </c>
      <c r="M14" s="13">
        <v>125</v>
      </c>
      <c r="N14" s="15" t="s">
        <v>16</v>
      </c>
      <c r="O14" s="16">
        <f>MIN(Table517[[#This Row],[OAK]:[NoCo]])</f>
        <v>125</v>
      </c>
      <c r="P14" s="17">
        <f>MAX(Table517[[#This Row],[OAK]:[NoCo]])</f>
        <v>1415</v>
      </c>
    </row>
    <row r="15" spans="2:16" ht="19" x14ac:dyDescent="0.25">
      <c r="B15" s="18" t="s">
        <v>13</v>
      </c>
      <c r="C15" s="19">
        <f>MIN(C4:C14)</f>
        <v>150</v>
      </c>
      <c r="D15" s="19">
        <f>MIN(D3:D14)</f>
        <v>150</v>
      </c>
      <c r="E15" s="19">
        <f>MIN(L3:L14)</f>
        <v>218</v>
      </c>
      <c r="F15" s="19">
        <f>MIN(E4:E14)</f>
        <v>264</v>
      </c>
      <c r="G15" s="19">
        <f>MIN(I4:I14)</f>
        <v>125</v>
      </c>
      <c r="H15" s="19">
        <f>MIN(H4:H14)</f>
        <v>298</v>
      </c>
      <c r="I15" s="19">
        <f>MIN(K4:K14)</f>
        <v>169</v>
      </c>
      <c r="J15" s="20">
        <f>MIN(F4:F14)</f>
        <v>179</v>
      </c>
      <c r="K15" s="19">
        <f>MIN(J4:J14)</f>
        <v>126</v>
      </c>
      <c r="L15" s="20">
        <f>MIN(M4:M14)</f>
        <v>125</v>
      </c>
      <c r="M15" s="20">
        <f>MIN(G4:G14)</f>
        <v>180</v>
      </c>
      <c r="N15" s="21">
        <f>MIN(N4:N14)</f>
        <v>126</v>
      </c>
      <c r="O15" s="22"/>
      <c r="P15" s="23"/>
    </row>
    <row r="16" spans="2:16" ht="20" thickBot="1" x14ac:dyDescent="0.3">
      <c r="B16" s="24" t="s">
        <v>14</v>
      </c>
      <c r="C16" s="25">
        <f>MAX(C4:C14)</f>
        <v>1315</v>
      </c>
      <c r="D16" s="25">
        <f>MAX(D4:D14)</f>
        <v>1415</v>
      </c>
      <c r="E16" s="25">
        <f>MAX(L4:L14)</f>
        <v>1259</v>
      </c>
      <c r="F16" s="25">
        <f>MAX(E4:E14)</f>
        <v>889</v>
      </c>
      <c r="G16" s="25">
        <f>MAX(I4:I14)</f>
        <v>1214</v>
      </c>
      <c r="H16" s="25">
        <f>MAX(H4:H14)</f>
        <v>1062</v>
      </c>
      <c r="I16" s="25">
        <f>MAX(K4:K14)</f>
        <v>1284</v>
      </c>
      <c r="J16" s="25">
        <f>MAX(F4:F14)</f>
        <v>924</v>
      </c>
      <c r="K16" s="25">
        <f>MAX(J4:J14)</f>
        <v>1073</v>
      </c>
      <c r="L16" s="25">
        <f>MAX(M4:M14)</f>
        <v>1302</v>
      </c>
      <c r="M16" s="25">
        <f>MAX(G4:G14)</f>
        <v>864</v>
      </c>
      <c r="N16" s="17">
        <f>MAX(N4:N14)</f>
        <v>1415</v>
      </c>
      <c r="O16" s="26"/>
      <c r="P16" s="27"/>
    </row>
    <row r="17" spans="2:31" x14ac:dyDescent="0.2"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2:31" ht="17" thickBot="1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2:31" ht="19" x14ac:dyDescent="0.25">
      <c r="B19" s="1" t="s">
        <v>27</v>
      </c>
      <c r="C19" s="2" t="s">
        <v>1</v>
      </c>
      <c r="D19" s="2" t="s">
        <v>2</v>
      </c>
      <c r="E19" s="49" t="s">
        <v>4</v>
      </c>
      <c r="F19" s="49" t="s">
        <v>8</v>
      </c>
      <c r="G19" s="49" t="s">
        <v>11</v>
      </c>
      <c r="H19" s="49" t="s">
        <v>6</v>
      </c>
      <c r="I19" s="49" t="s">
        <v>5</v>
      </c>
      <c r="J19" s="49" t="s">
        <v>9</v>
      </c>
      <c r="K19" s="49" t="s">
        <v>7</v>
      </c>
      <c r="L19" s="49" t="s">
        <v>3</v>
      </c>
      <c r="M19" s="49" t="s">
        <v>10</v>
      </c>
      <c r="N19" s="3" t="s">
        <v>12</v>
      </c>
      <c r="O19" s="30" t="s">
        <v>13</v>
      </c>
      <c r="P19" s="5" t="s">
        <v>14</v>
      </c>
      <c r="S19" s="49" t="s">
        <v>27</v>
      </c>
      <c r="T19" s="49" t="s">
        <v>1</v>
      </c>
      <c r="U19" s="49" t="s">
        <v>2</v>
      </c>
      <c r="V19" s="49" t="s">
        <v>3</v>
      </c>
      <c r="W19" s="49" t="s">
        <v>4</v>
      </c>
      <c r="X19" s="49" t="s">
        <v>5</v>
      </c>
      <c r="Y19" s="49" t="s">
        <v>6</v>
      </c>
      <c r="Z19" s="49" t="s">
        <v>7</v>
      </c>
      <c r="AA19" s="49" t="s">
        <v>8</v>
      </c>
      <c r="AB19" s="49" t="s">
        <v>9</v>
      </c>
      <c r="AC19" s="49" t="s">
        <v>10</v>
      </c>
      <c r="AD19" s="49" t="s">
        <v>11</v>
      </c>
      <c r="AE19" s="49" t="s">
        <v>12</v>
      </c>
    </row>
    <row r="20" spans="2:31" ht="19" x14ac:dyDescent="0.25">
      <c r="B20" s="6" t="s">
        <v>15</v>
      </c>
      <c r="C20" s="31">
        <f>INDEX($S$19:$AE$31, MATCH($B20, $S$19:$S$31, 0), MATCH(C$19, $S$19:$AE$19, 0))</f>
        <v>0</v>
      </c>
      <c r="D20" s="31">
        <f t="shared" ref="D20:N20" si="1">INDEX($S$19:$AE$31, MATCH($B20, $S$19:$S$31, 0), MATCH(D$19, $S$19:$AE$19, 0))</f>
        <v>8.3333333333333329E-2</v>
      </c>
      <c r="E20" s="31">
        <f t="shared" si="1"/>
        <v>0.41319444444444442</v>
      </c>
      <c r="F20" s="31">
        <f t="shared" si="1"/>
        <v>0.51041666666666663</v>
      </c>
      <c r="G20" s="31">
        <f t="shared" si="1"/>
        <v>0.46875</v>
      </c>
      <c r="H20" s="31">
        <f t="shared" si="1"/>
        <v>0.61458333333333337</v>
      </c>
      <c r="I20" s="31">
        <f t="shared" si="1"/>
        <v>0.73611111111111116</v>
      </c>
      <c r="J20" s="31">
        <f t="shared" si="1"/>
        <v>0.69444444444444453</v>
      </c>
      <c r="K20" s="31">
        <f t="shared" si="1"/>
        <v>0.72916666666666663</v>
      </c>
      <c r="L20" s="31">
        <f t="shared" si="1"/>
        <v>0.73611111111111116</v>
      </c>
      <c r="M20" s="31">
        <f t="shared" si="1"/>
        <v>0.72916666666666663</v>
      </c>
      <c r="N20" s="31">
        <f t="shared" si="1"/>
        <v>0.80555555555555547</v>
      </c>
      <c r="O20" s="32">
        <f>SMALL(Table618[[#This Row],[OAK]:[NoCo]],2)</f>
        <v>8.3333333333333329E-2</v>
      </c>
      <c r="P20" s="33">
        <f>MAX(Table618[[#This Row],[OAK]:[NoCo]])</f>
        <v>0.73611111111111116</v>
      </c>
      <c r="S20" s="46" t="s">
        <v>15</v>
      </c>
      <c r="T20" s="52">
        <v>0</v>
      </c>
      <c r="U20" s="52">
        <v>8.3333333333333329E-2</v>
      </c>
      <c r="V20" s="52">
        <v>0.73611111111111116</v>
      </c>
      <c r="W20" s="52">
        <v>0.41319444444444442</v>
      </c>
      <c r="X20" s="52">
        <v>0.73611111111111116</v>
      </c>
      <c r="Y20" s="52">
        <v>0.61458333333333337</v>
      </c>
      <c r="Z20" s="52">
        <v>0.72916666666666663</v>
      </c>
      <c r="AA20" s="52">
        <v>0.51041666666666663</v>
      </c>
      <c r="AB20" s="52">
        <v>0.69444444444444453</v>
      </c>
      <c r="AC20" s="52">
        <v>0.72916666666666663</v>
      </c>
      <c r="AD20" s="52">
        <v>0.46875</v>
      </c>
      <c r="AE20" s="53">
        <v>0.80555555555555547</v>
      </c>
    </row>
    <row r="21" spans="2:31" ht="19" x14ac:dyDescent="0.25">
      <c r="B21" s="6" t="s">
        <v>17</v>
      </c>
      <c r="C21" s="31">
        <f t="shared" ref="C21:N31" si="2">INDEX($S$19:$AE$31, MATCH($B21, $S$19:$S$31, 0), MATCH(C$19, $S$19:$AE$19, 0))</f>
        <v>8.3333333333333329E-2</v>
      </c>
      <c r="D21" s="31">
        <f t="shared" si="2"/>
        <v>0</v>
      </c>
      <c r="E21" s="31">
        <f t="shared" si="2"/>
        <v>0.4375</v>
      </c>
      <c r="F21" s="31">
        <f t="shared" si="2"/>
        <v>0.54166666666666663</v>
      </c>
      <c r="G21" s="31">
        <f t="shared" si="2"/>
        <v>0.5</v>
      </c>
      <c r="H21" s="31">
        <f t="shared" si="2"/>
        <v>0.64583333333333337</v>
      </c>
      <c r="I21" s="31">
        <f t="shared" si="2"/>
        <v>0.77083333333333337</v>
      </c>
      <c r="J21" s="31">
        <f t="shared" si="2"/>
        <v>0.75</v>
      </c>
      <c r="K21" s="31" t="str">
        <f t="shared" si="2"/>
        <v>!8:00</v>
      </c>
      <c r="L21" s="31">
        <f t="shared" si="2"/>
        <v>0.77083333333333337</v>
      </c>
      <c r="M21" s="31">
        <f t="shared" si="2"/>
        <v>0.77083333333333337</v>
      </c>
      <c r="N21" s="31">
        <f t="shared" si="2"/>
        <v>0.83333333333333337</v>
      </c>
      <c r="O21" s="32">
        <f>SMALL(Table618[[#This Row],[OAK]:[NoCo]],2)</f>
        <v>8.3333333333333329E-2</v>
      </c>
      <c r="P21" s="33">
        <f>MAX(Table618[[#This Row],[OAK]:[NoCo]])</f>
        <v>0.77083333333333337</v>
      </c>
      <c r="S21" s="49" t="s">
        <v>17</v>
      </c>
      <c r="T21" s="34">
        <v>8.3333333333333329E-2</v>
      </c>
      <c r="U21" s="34">
        <v>0</v>
      </c>
      <c r="V21" s="34">
        <v>0.77083333333333337</v>
      </c>
      <c r="W21" s="34">
        <v>0.4375</v>
      </c>
      <c r="X21" s="34">
        <v>0.77083333333333337</v>
      </c>
      <c r="Y21" s="34">
        <v>0.64583333333333337</v>
      </c>
      <c r="Z21" s="34" t="s">
        <v>28</v>
      </c>
      <c r="AA21" s="34">
        <v>0.54166666666666663</v>
      </c>
      <c r="AB21" s="34">
        <v>0.75</v>
      </c>
      <c r="AC21" s="34">
        <v>0.77083333333333337</v>
      </c>
      <c r="AD21" s="34">
        <v>0.5</v>
      </c>
      <c r="AE21" s="35">
        <v>0.83333333333333337</v>
      </c>
    </row>
    <row r="22" spans="2:31" ht="19" x14ac:dyDescent="0.25">
      <c r="B22" s="49" t="s">
        <v>19</v>
      </c>
      <c r="C22" s="31">
        <f t="shared" si="2"/>
        <v>0.41319444444444442</v>
      </c>
      <c r="D22" s="31">
        <f t="shared" si="2"/>
        <v>0.4375</v>
      </c>
      <c r="E22" s="31">
        <f t="shared" si="2"/>
        <v>0</v>
      </c>
      <c r="F22" s="31">
        <f t="shared" si="2"/>
        <v>0.17708333333333334</v>
      </c>
      <c r="G22" s="31">
        <f t="shared" si="2"/>
        <v>0.19444444444444445</v>
      </c>
      <c r="H22" s="31">
        <f t="shared" si="2"/>
        <v>0.3923611111111111</v>
      </c>
      <c r="I22" s="31">
        <f t="shared" si="2"/>
        <v>0.39583333333333331</v>
      </c>
      <c r="J22" s="31">
        <f t="shared" si="2"/>
        <v>0.2986111111111111</v>
      </c>
      <c r="K22" s="31">
        <f t="shared" si="2"/>
        <v>0.38194444444444442</v>
      </c>
      <c r="L22" s="31">
        <f t="shared" si="2"/>
        <v>0.39930555555555558</v>
      </c>
      <c r="M22" s="31">
        <f t="shared" si="2"/>
        <v>0.4861111111111111</v>
      </c>
      <c r="N22" s="31">
        <f t="shared" si="2"/>
        <v>0.55902777777777779</v>
      </c>
      <c r="O22" s="32">
        <f>SMALL(Table618[[#This Row],[OAK]:[NoCo]],2)</f>
        <v>0.17708333333333334</v>
      </c>
      <c r="P22" s="33">
        <f>MAX(Table618[[#This Row],[OAK]:[NoCo]])</f>
        <v>0.4861111111111111</v>
      </c>
      <c r="S22" s="46" t="s">
        <v>18</v>
      </c>
      <c r="T22" s="54">
        <v>0.75</v>
      </c>
      <c r="U22" s="54">
        <v>0.77083333333333337</v>
      </c>
      <c r="V22" s="54">
        <v>0</v>
      </c>
      <c r="W22" s="54">
        <v>0.40625</v>
      </c>
      <c r="X22" s="54">
        <v>0.2986111111111111</v>
      </c>
      <c r="Y22" s="54">
        <v>0.4375</v>
      </c>
      <c r="Z22" s="54">
        <v>0.15625</v>
      </c>
      <c r="AA22" s="54">
        <v>0.23611111111111113</v>
      </c>
      <c r="AB22" s="54">
        <v>0.22569444444444445</v>
      </c>
      <c r="AC22" s="54">
        <v>0.32291666666666669</v>
      </c>
      <c r="AD22" s="54">
        <v>0.33680555555555558</v>
      </c>
      <c r="AE22" s="55">
        <v>0.40277777777777773</v>
      </c>
    </row>
    <row r="23" spans="2:31" ht="19" x14ac:dyDescent="0.25">
      <c r="B23" s="49" t="s">
        <v>23</v>
      </c>
      <c r="C23" s="31">
        <f t="shared" si="2"/>
        <v>0.52083333333333337</v>
      </c>
      <c r="D23" s="31">
        <f t="shared" si="2"/>
        <v>0.5625</v>
      </c>
      <c r="E23" s="31">
        <f t="shared" si="2"/>
        <v>0.18055555555555555</v>
      </c>
      <c r="F23" s="31">
        <f t="shared" si="2"/>
        <v>0</v>
      </c>
      <c r="G23" s="31">
        <f t="shared" si="2"/>
        <v>0.1111111111111111</v>
      </c>
      <c r="H23" s="31">
        <f t="shared" si="2"/>
        <v>0.3125</v>
      </c>
      <c r="I23" s="31">
        <f t="shared" si="2"/>
        <v>0.28125</v>
      </c>
      <c r="J23" s="31">
        <f t="shared" si="2"/>
        <v>0.19791666666666666</v>
      </c>
      <c r="K23" s="31">
        <f t="shared" si="2"/>
        <v>0.23958333333333334</v>
      </c>
      <c r="L23" s="31">
        <f t="shared" si="2"/>
        <v>0.23611111111111113</v>
      </c>
      <c r="M23" s="31">
        <f t="shared" si="2"/>
        <v>0.36805555555555558</v>
      </c>
      <c r="N23" s="31">
        <f t="shared" si="2"/>
        <v>0.44097222222222227</v>
      </c>
      <c r="O23" s="32">
        <f>SMALL(Table618[[#This Row],[OAK]:[NoCo]],2)</f>
        <v>0.1111111111111111</v>
      </c>
      <c r="P23" s="33">
        <f>MAX(Table618[[#This Row],[OAK]:[NoCo]])</f>
        <v>0.5625</v>
      </c>
      <c r="S23" s="49" t="s">
        <v>19</v>
      </c>
      <c r="T23" s="34">
        <v>0.41319444444444442</v>
      </c>
      <c r="U23" s="34">
        <v>0.4375</v>
      </c>
      <c r="V23" s="34">
        <v>0.39930555555555558</v>
      </c>
      <c r="W23" s="34">
        <v>0</v>
      </c>
      <c r="X23" s="34">
        <v>0.39583333333333331</v>
      </c>
      <c r="Y23" s="34">
        <v>0.3923611111111111</v>
      </c>
      <c r="Z23" s="34">
        <v>0.38194444444444442</v>
      </c>
      <c r="AA23" s="34">
        <v>0.17708333333333334</v>
      </c>
      <c r="AB23" s="34">
        <v>0.2986111111111111</v>
      </c>
      <c r="AC23" s="34">
        <v>0.4861111111111111</v>
      </c>
      <c r="AD23" s="34">
        <v>0.19444444444444445</v>
      </c>
      <c r="AE23" s="35">
        <v>0.55902777777777779</v>
      </c>
    </row>
    <row r="24" spans="2:31" ht="19" x14ac:dyDescent="0.25">
      <c r="B24" s="46" t="s">
        <v>25</v>
      </c>
      <c r="C24" s="31">
        <f t="shared" si="2"/>
        <v>0.46875</v>
      </c>
      <c r="D24" s="31">
        <f t="shared" si="2"/>
        <v>0.5</v>
      </c>
      <c r="E24" s="31">
        <f t="shared" si="2"/>
        <v>0.19791666666666666</v>
      </c>
      <c r="F24" s="31">
        <f t="shared" si="2"/>
        <v>0.1111111111111111</v>
      </c>
      <c r="G24" s="31">
        <f t="shared" si="2"/>
        <v>0</v>
      </c>
      <c r="H24" s="31">
        <f t="shared" si="2"/>
        <v>0.20833333333333334</v>
      </c>
      <c r="I24" s="31">
        <f t="shared" si="2"/>
        <v>0.3923611111111111</v>
      </c>
      <c r="J24" s="31">
        <f t="shared" si="2"/>
        <v>0.30555555555555552</v>
      </c>
      <c r="K24" s="31">
        <f t="shared" si="2"/>
        <v>0.34027777777777773</v>
      </c>
      <c r="L24" s="31">
        <f t="shared" si="2"/>
        <v>0.34375</v>
      </c>
      <c r="M24" s="31">
        <f t="shared" si="2"/>
        <v>0.30555555555555552</v>
      </c>
      <c r="N24" s="31">
        <f t="shared" si="2"/>
        <v>0.38541666666666669</v>
      </c>
      <c r="O24" s="32">
        <f>SMALL(Table618[[#This Row],[OAK]:[NoCo]],2)</f>
        <v>0.1111111111111111</v>
      </c>
      <c r="P24" s="33">
        <f>MAX(Table618[[#This Row],[OAK]:[NoCo]])</f>
        <v>0.5</v>
      </c>
      <c r="S24" s="46" t="s">
        <v>20</v>
      </c>
      <c r="T24" s="54">
        <v>0.74652777777777779</v>
      </c>
      <c r="U24" s="54">
        <v>0.77083333333333337</v>
      </c>
      <c r="V24" s="54">
        <v>0.29166666666666669</v>
      </c>
      <c r="W24" s="54">
        <v>0.39583333333333331</v>
      </c>
      <c r="X24" s="54">
        <v>0</v>
      </c>
      <c r="Y24" s="54">
        <v>0.58333333333333337</v>
      </c>
      <c r="Z24" s="54">
        <v>0.15625</v>
      </c>
      <c r="AA24" s="54">
        <v>0.28125</v>
      </c>
      <c r="AB24" s="54">
        <v>9.7222222222222224E-2</v>
      </c>
      <c r="AC24" s="54">
        <v>0.59375</v>
      </c>
      <c r="AD24" s="54">
        <v>0.38194444444444442</v>
      </c>
      <c r="AE24" s="55">
        <v>0.67361111111111116</v>
      </c>
    </row>
    <row r="25" spans="2:31" ht="19" x14ac:dyDescent="0.25">
      <c r="B25" s="49" t="s">
        <v>21</v>
      </c>
      <c r="C25" s="31">
        <f t="shared" si="2"/>
        <v>0.63541666666666663</v>
      </c>
      <c r="D25" s="31">
        <f t="shared" si="2"/>
        <v>0.66666666666666663</v>
      </c>
      <c r="E25" s="31">
        <f t="shared" si="2"/>
        <v>0.3923611111111111</v>
      </c>
      <c r="F25" s="31">
        <f t="shared" si="2"/>
        <v>0.30902777777777779</v>
      </c>
      <c r="G25" s="31">
        <f t="shared" si="2"/>
        <v>0.20833333333333334</v>
      </c>
      <c r="H25" s="31">
        <f t="shared" si="2"/>
        <v>0</v>
      </c>
      <c r="I25" s="31">
        <f t="shared" si="2"/>
        <v>0.58680555555555558</v>
      </c>
      <c r="J25" s="31">
        <f t="shared" si="2"/>
        <v>0.48958333333333331</v>
      </c>
      <c r="K25" s="31">
        <f t="shared" si="2"/>
        <v>0.52777777777777779</v>
      </c>
      <c r="L25" s="31">
        <f t="shared" si="2"/>
        <v>0.4236111111111111</v>
      </c>
      <c r="M25" s="31">
        <f t="shared" si="2"/>
        <v>0.20833333333333334</v>
      </c>
      <c r="N25" s="31">
        <f t="shared" si="2"/>
        <v>0.21527777777777779</v>
      </c>
      <c r="O25" s="32">
        <f>SMALL(Table618[[#This Row],[OAK]:[NoCo]],2)</f>
        <v>0.20833333333333334</v>
      </c>
      <c r="P25" s="33">
        <f>MAX(Table618[[#This Row],[OAK]:[NoCo]])</f>
        <v>0.66666666666666663</v>
      </c>
      <c r="S25" s="49" t="s">
        <v>21</v>
      </c>
      <c r="T25" s="34">
        <v>0.63541666666666663</v>
      </c>
      <c r="U25" s="34">
        <v>0.66666666666666663</v>
      </c>
      <c r="V25" s="34">
        <v>0.4236111111111111</v>
      </c>
      <c r="W25" s="34">
        <v>0.3923611111111111</v>
      </c>
      <c r="X25" s="34">
        <v>0.58680555555555558</v>
      </c>
      <c r="Y25" s="34">
        <v>0</v>
      </c>
      <c r="Z25" s="34">
        <v>0.52777777777777779</v>
      </c>
      <c r="AA25" s="34">
        <v>0.30902777777777779</v>
      </c>
      <c r="AB25" s="34">
        <v>0.48958333333333331</v>
      </c>
      <c r="AC25" s="34">
        <v>0.20833333333333334</v>
      </c>
      <c r="AD25" s="34">
        <v>0.20833333333333334</v>
      </c>
      <c r="AE25" s="35">
        <v>0.21527777777777779</v>
      </c>
    </row>
    <row r="26" spans="2:31" ht="19" x14ac:dyDescent="0.25">
      <c r="B26" s="46" t="s">
        <v>20</v>
      </c>
      <c r="C26" s="31">
        <f t="shared" si="2"/>
        <v>0.74652777777777779</v>
      </c>
      <c r="D26" s="31">
        <f t="shared" si="2"/>
        <v>0.77083333333333337</v>
      </c>
      <c r="E26" s="31">
        <f t="shared" si="2"/>
        <v>0.39583333333333331</v>
      </c>
      <c r="F26" s="31">
        <f t="shared" si="2"/>
        <v>0.28125</v>
      </c>
      <c r="G26" s="31">
        <f t="shared" si="2"/>
        <v>0.38194444444444442</v>
      </c>
      <c r="H26" s="31">
        <f t="shared" si="2"/>
        <v>0.58333333333333337</v>
      </c>
      <c r="I26" s="31">
        <f t="shared" si="2"/>
        <v>0</v>
      </c>
      <c r="J26" s="31">
        <f t="shared" si="2"/>
        <v>9.7222222222222224E-2</v>
      </c>
      <c r="K26" s="31">
        <f t="shared" si="2"/>
        <v>0.15625</v>
      </c>
      <c r="L26" s="31">
        <f t="shared" si="2"/>
        <v>0.29166666666666669</v>
      </c>
      <c r="M26" s="31">
        <f t="shared" si="2"/>
        <v>0.59375</v>
      </c>
      <c r="N26" s="31">
        <f t="shared" si="2"/>
        <v>0.67361111111111116</v>
      </c>
      <c r="O26" s="32">
        <f>SMALL(Table618[[#This Row],[OAK]:[NoCo]],2)</f>
        <v>9.7222222222222224E-2</v>
      </c>
      <c r="P26" s="33">
        <f>MAX(Table618[[#This Row],[OAK]:[NoCo]])</f>
        <v>0.77083333333333337</v>
      </c>
      <c r="S26" s="46" t="s">
        <v>22</v>
      </c>
      <c r="T26" s="54">
        <v>0.73958333333333337</v>
      </c>
      <c r="U26" s="54">
        <v>0.77083333333333337</v>
      </c>
      <c r="V26" s="54">
        <v>0.15277777777777776</v>
      </c>
      <c r="W26" s="54">
        <v>0.37847222222222227</v>
      </c>
      <c r="X26" s="54">
        <v>0.15625</v>
      </c>
      <c r="Y26" s="54">
        <v>0.53472222222222221</v>
      </c>
      <c r="Z26" s="54">
        <v>0</v>
      </c>
      <c r="AA26" s="54">
        <v>0.23263888888888887</v>
      </c>
      <c r="AB26" s="54">
        <v>0.11805555555555557</v>
      </c>
      <c r="AC26" s="54">
        <v>0.45833333333333331</v>
      </c>
      <c r="AD26" s="54">
        <v>0.33333333333333331</v>
      </c>
      <c r="AE26" s="55">
        <v>0.53125</v>
      </c>
    </row>
    <row r="27" spans="2:31" ht="19" x14ac:dyDescent="0.25">
      <c r="B27" s="46" t="s">
        <v>24</v>
      </c>
      <c r="C27" s="31">
        <f t="shared" si="2"/>
        <v>0.69791666666666663</v>
      </c>
      <c r="D27" s="31">
        <f t="shared" si="2"/>
        <v>0.75</v>
      </c>
      <c r="E27" s="31">
        <f t="shared" si="2"/>
        <v>0.30555555555555552</v>
      </c>
      <c r="F27" s="31">
        <f t="shared" si="2"/>
        <v>0.20138888888888887</v>
      </c>
      <c r="G27" s="31">
        <f t="shared" si="2"/>
        <v>0.30208333333333331</v>
      </c>
      <c r="H27" s="31">
        <f t="shared" si="2"/>
        <v>0.50347222222222221</v>
      </c>
      <c r="I27" s="31">
        <f t="shared" si="2"/>
        <v>9.7222222222222224E-2</v>
      </c>
      <c r="J27" s="31">
        <f t="shared" si="2"/>
        <v>0</v>
      </c>
      <c r="K27" s="31">
        <f t="shared" si="2"/>
        <v>0.11805555555555557</v>
      </c>
      <c r="L27" s="31">
        <f t="shared" si="2"/>
        <v>0.22222222222222221</v>
      </c>
      <c r="M27" s="31">
        <f t="shared" si="2"/>
        <v>0.52430555555555558</v>
      </c>
      <c r="N27" s="31">
        <f t="shared" si="2"/>
        <v>0.59722222222222221</v>
      </c>
      <c r="O27" s="32">
        <f>SMALL(Table618[[#This Row],[OAK]:[NoCo]],2)</f>
        <v>9.7222222222222224E-2</v>
      </c>
      <c r="P27" s="33">
        <f>MAX(Table618[[#This Row],[OAK]:[NoCo]])</f>
        <v>0.75</v>
      </c>
      <c r="S27" s="49" t="s">
        <v>23</v>
      </c>
      <c r="T27" s="34">
        <v>0.52083333333333337</v>
      </c>
      <c r="U27" s="34">
        <v>0.5625</v>
      </c>
      <c r="V27" s="34">
        <v>0.23611111111111113</v>
      </c>
      <c r="W27" s="34">
        <v>0.18055555555555555</v>
      </c>
      <c r="X27" s="34">
        <v>0.28125</v>
      </c>
      <c r="Y27" s="34">
        <v>0.3125</v>
      </c>
      <c r="Z27" s="34">
        <v>0.23958333333333334</v>
      </c>
      <c r="AA27" s="34">
        <v>0</v>
      </c>
      <c r="AB27" s="34">
        <v>0.19791666666666666</v>
      </c>
      <c r="AC27" s="34">
        <v>0.36805555555555558</v>
      </c>
      <c r="AD27" s="34">
        <v>0.1111111111111111</v>
      </c>
      <c r="AE27" s="35">
        <v>0.44097222222222227</v>
      </c>
    </row>
    <row r="28" spans="2:31" ht="19" x14ac:dyDescent="0.25">
      <c r="B28" s="46" t="s">
        <v>22</v>
      </c>
      <c r="C28" s="31">
        <f t="shared" si="2"/>
        <v>0.73958333333333337</v>
      </c>
      <c r="D28" s="31">
        <f t="shared" si="2"/>
        <v>0.77083333333333337</v>
      </c>
      <c r="E28" s="31">
        <f t="shared" si="2"/>
        <v>0.37847222222222227</v>
      </c>
      <c r="F28" s="31">
        <f t="shared" si="2"/>
        <v>0.23263888888888887</v>
      </c>
      <c r="G28" s="31">
        <f t="shared" si="2"/>
        <v>0.33333333333333331</v>
      </c>
      <c r="H28" s="31">
        <f t="shared" si="2"/>
        <v>0.53472222222222221</v>
      </c>
      <c r="I28" s="31">
        <f t="shared" si="2"/>
        <v>0.15625</v>
      </c>
      <c r="J28" s="31">
        <f t="shared" si="2"/>
        <v>0.11805555555555557</v>
      </c>
      <c r="K28" s="31">
        <f t="shared" si="2"/>
        <v>0</v>
      </c>
      <c r="L28" s="31">
        <f t="shared" si="2"/>
        <v>0.15277777777777776</v>
      </c>
      <c r="M28" s="31">
        <f t="shared" si="2"/>
        <v>0.45833333333333331</v>
      </c>
      <c r="N28" s="31">
        <f t="shared" si="2"/>
        <v>0.53125</v>
      </c>
      <c r="O28" s="32">
        <f>SMALL(Table618[[#This Row],[OAK]:[NoCo]],2)</f>
        <v>0.11805555555555557</v>
      </c>
      <c r="P28" s="33">
        <f>MAX(Table618[[#This Row],[OAK]:[NoCo]])</f>
        <v>0.77083333333333337</v>
      </c>
      <c r="S28" s="46" t="s">
        <v>24</v>
      </c>
      <c r="T28" s="54">
        <v>0.69791666666666663</v>
      </c>
      <c r="U28" s="54">
        <v>0.75</v>
      </c>
      <c r="V28" s="54">
        <v>0.22222222222222221</v>
      </c>
      <c r="W28" s="54">
        <v>0.30555555555555552</v>
      </c>
      <c r="X28" s="54">
        <v>9.7222222222222224E-2</v>
      </c>
      <c r="Y28" s="54">
        <v>0.50347222222222221</v>
      </c>
      <c r="Z28" s="54">
        <v>0.11805555555555557</v>
      </c>
      <c r="AA28" s="54">
        <v>0.20138888888888887</v>
      </c>
      <c r="AB28" s="54">
        <v>0</v>
      </c>
      <c r="AC28" s="54">
        <v>0.52430555555555558</v>
      </c>
      <c r="AD28" s="54">
        <v>0.30208333333333331</v>
      </c>
      <c r="AE28" s="55">
        <v>0.59722222222222221</v>
      </c>
    </row>
    <row r="29" spans="2:31" ht="19" x14ac:dyDescent="0.25">
      <c r="B29" s="46" t="s">
        <v>18</v>
      </c>
      <c r="C29" s="31">
        <f t="shared" si="2"/>
        <v>0.75</v>
      </c>
      <c r="D29" s="31">
        <f t="shared" si="2"/>
        <v>0.77083333333333337</v>
      </c>
      <c r="E29" s="31">
        <f t="shared" si="2"/>
        <v>0.40625</v>
      </c>
      <c r="F29" s="31">
        <f t="shared" si="2"/>
        <v>0.23611111111111113</v>
      </c>
      <c r="G29" s="31">
        <f t="shared" si="2"/>
        <v>0.33680555555555558</v>
      </c>
      <c r="H29" s="31">
        <f t="shared" si="2"/>
        <v>0.4375</v>
      </c>
      <c r="I29" s="31">
        <f t="shared" si="2"/>
        <v>0.2986111111111111</v>
      </c>
      <c r="J29" s="31">
        <f t="shared" si="2"/>
        <v>0.22569444444444445</v>
      </c>
      <c r="K29" s="31">
        <f t="shared" si="2"/>
        <v>0.15625</v>
      </c>
      <c r="L29" s="31">
        <f t="shared" si="2"/>
        <v>0</v>
      </c>
      <c r="M29" s="31">
        <f t="shared" si="2"/>
        <v>0.32291666666666669</v>
      </c>
      <c r="N29" s="31">
        <f t="shared" si="2"/>
        <v>0.40277777777777773</v>
      </c>
      <c r="O29" s="32">
        <f>SMALL(Table618[[#This Row],[OAK]:[NoCo]],2)</f>
        <v>0.15625</v>
      </c>
      <c r="P29" s="33">
        <f>MAX(Table618[[#This Row],[OAK]:[NoCo]])</f>
        <v>0.77083333333333337</v>
      </c>
      <c r="S29" s="49" t="s">
        <v>10</v>
      </c>
      <c r="T29" s="34">
        <v>0.74305555555555547</v>
      </c>
      <c r="U29" s="34">
        <v>0.79166666666666663</v>
      </c>
      <c r="V29" s="34">
        <v>0.31944444444444448</v>
      </c>
      <c r="W29" s="34">
        <v>0.4826388888888889</v>
      </c>
      <c r="X29" s="34">
        <v>0.61805555555555558</v>
      </c>
      <c r="Y29" s="34">
        <v>0.21180555555555555</v>
      </c>
      <c r="Z29" s="34">
        <v>0.46527777777777773</v>
      </c>
      <c r="AA29" s="34">
        <v>0.36805555555555558</v>
      </c>
      <c r="AB29" s="34">
        <v>0.52430555555555558</v>
      </c>
      <c r="AC29" s="34">
        <v>0</v>
      </c>
      <c r="AD29" s="34">
        <v>0.30208333333333331</v>
      </c>
      <c r="AE29" s="35">
        <v>8.6805555555555566E-2</v>
      </c>
    </row>
    <row r="30" spans="2:31" ht="19" x14ac:dyDescent="0.25">
      <c r="B30" s="49" t="s">
        <v>10</v>
      </c>
      <c r="C30" s="31">
        <f t="shared" si="2"/>
        <v>0.74305555555555547</v>
      </c>
      <c r="D30" s="31">
        <f t="shared" si="2"/>
        <v>0.79166666666666663</v>
      </c>
      <c r="E30" s="31">
        <f t="shared" si="2"/>
        <v>0.4826388888888889</v>
      </c>
      <c r="F30" s="31">
        <f t="shared" si="2"/>
        <v>0.36805555555555558</v>
      </c>
      <c r="G30" s="31">
        <f t="shared" si="2"/>
        <v>0.30208333333333331</v>
      </c>
      <c r="H30" s="31">
        <f t="shared" si="2"/>
        <v>0.21180555555555555</v>
      </c>
      <c r="I30" s="31">
        <f t="shared" si="2"/>
        <v>0.61805555555555558</v>
      </c>
      <c r="J30" s="31">
        <f t="shared" si="2"/>
        <v>0.52430555555555558</v>
      </c>
      <c r="K30" s="31">
        <f t="shared" si="2"/>
        <v>0.46527777777777773</v>
      </c>
      <c r="L30" s="31">
        <f t="shared" si="2"/>
        <v>0.31944444444444448</v>
      </c>
      <c r="M30" s="31">
        <f t="shared" si="2"/>
        <v>0</v>
      </c>
      <c r="N30" s="31">
        <f t="shared" si="2"/>
        <v>8.6805555555555566E-2</v>
      </c>
      <c r="O30" s="32">
        <f>SMALL(Table618[[#This Row],[OAK]:[NoCo]],2)</f>
        <v>0.21180555555555555</v>
      </c>
      <c r="P30" s="33">
        <f>MAX(Table618[[#This Row],[OAK]:[NoCo]])</f>
        <v>0.79166666666666663</v>
      </c>
      <c r="S30" s="46" t="s">
        <v>25</v>
      </c>
      <c r="T30" s="54">
        <v>0.46875</v>
      </c>
      <c r="U30" s="54">
        <v>0.5</v>
      </c>
      <c r="V30" s="54">
        <v>0.34375</v>
      </c>
      <c r="W30" s="54">
        <v>0.19791666666666666</v>
      </c>
      <c r="X30" s="54">
        <v>0.3923611111111111</v>
      </c>
      <c r="Y30" s="54">
        <v>0.20833333333333334</v>
      </c>
      <c r="Z30" s="54">
        <v>0.34027777777777773</v>
      </c>
      <c r="AA30" s="54">
        <v>0.1111111111111111</v>
      </c>
      <c r="AB30" s="54">
        <v>0.30555555555555552</v>
      </c>
      <c r="AC30" s="54">
        <v>0.30555555555555552</v>
      </c>
      <c r="AD30" s="54">
        <v>0</v>
      </c>
      <c r="AE30" s="55">
        <v>0.38541666666666669</v>
      </c>
    </row>
    <row r="31" spans="2:31" ht="20" thickBot="1" x14ac:dyDescent="0.3">
      <c r="B31" s="50" t="s">
        <v>26</v>
      </c>
      <c r="C31" s="31">
        <f t="shared" si="2"/>
        <v>0.80555555555555547</v>
      </c>
      <c r="D31" s="31">
        <f t="shared" si="2"/>
        <v>0.83333333333333337</v>
      </c>
      <c r="E31" s="31">
        <f t="shared" si="2"/>
        <v>0.55208333333333337</v>
      </c>
      <c r="F31" s="31">
        <f t="shared" si="2"/>
        <v>0.44097222222222227</v>
      </c>
      <c r="G31" s="31">
        <f t="shared" si="2"/>
        <v>0.36805555555555558</v>
      </c>
      <c r="H31" s="31">
        <f t="shared" si="2"/>
        <v>0.21875</v>
      </c>
      <c r="I31" s="31">
        <f t="shared" si="2"/>
        <v>0.68055555555555547</v>
      </c>
      <c r="J31" s="31">
        <f t="shared" si="2"/>
        <v>0.58680555555555558</v>
      </c>
      <c r="K31" s="31">
        <f t="shared" si="2"/>
        <v>0.52777777777777779</v>
      </c>
      <c r="L31" s="31">
        <f t="shared" si="2"/>
        <v>0.38541666666666669</v>
      </c>
      <c r="M31" s="31">
        <f t="shared" si="2"/>
        <v>8.6805555555555566E-2</v>
      </c>
      <c r="N31" s="31">
        <f t="shared" si="2"/>
        <v>0</v>
      </c>
      <c r="O31" s="38">
        <f>SMALL(Table618[[#This Row],[OAK]:[NoCo]],2)</f>
        <v>0.21875</v>
      </c>
      <c r="P31" s="39">
        <f>MAX(Table618[[#This Row],[OAK]:[NoCo]])</f>
        <v>0.83333333333333337</v>
      </c>
      <c r="S31" s="50" t="s">
        <v>26</v>
      </c>
      <c r="T31" s="34">
        <v>0.80555555555555547</v>
      </c>
      <c r="U31" s="36">
        <v>0.83333333333333337</v>
      </c>
      <c r="V31" s="36">
        <v>0.38541666666666669</v>
      </c>
      <c r="W31" s="36">
        <v>0.55208333333333337</v>
      </c>
      <c r="X31" s="36">
        <v>0.68055555555555547</v>
      </c>
      <c r="Y31" s="36">
        <v>0.21875</v>
      </c>
      <c r="Z31" s="36">
        <v>0.52777777777777779</v>
      </c>
      <c r="AA31" s="36">
        <v>0.44097222222222227</v>
      </c>
      <c r="AB31" s="36">
        <v>0.58680555555555558</v>
      </c>
      <c r="AC31" s="36">
        <v>8.6805555555555566E-2</v>
      </c>
      <c r="AD31" s="36">
        <v>0.36805555555555558</v>
      </c>
      <c r="AE31" s="37">
        <v>0</v>
      </c>
    </row>
    <row r="32" spans="2:31" ht="19" x14ac:dyDescent="0.25">
      <c r="B32" s="18" t="s">
        <v>13</v>
      </c>
      <c r="C32" s="40">
        <f>SMALL(C21:C31,2)</f>
        <v>0.41319444444444442</v>
      </c>
      <c r="D32" s="40">
        <f>SMALL(D21:D31,2)</f>
        <v>0.4375</v>
      </c>
      <c r="E32" s="40">
        <f t="shared" ref="E32:N32" si="3">SMALL(E21:E31,2)</f>
        <v>0.18055555555555555</v>
      </c>
      <c r="F32" s="40">
        <f t="shared" si="3"/>
        <v>0.1111111111111111</v>
      </c>
      <c r="G32" s="40">
        <f t="shared" si="3"/>
        <v>0.1111111111111111</v>
      </c>
      <c r="H32" s="40">
        <f t="shared" si="3"/>
        <v>0.20833333333333334</v>
      </c>
      <c r="I32" s="40">
        <f t="shared" si="3"/>
        <v>9.7222222222222224E-2</v>
      </c>
      <c r="J32" s="40">
        <f t="shared" si="3"/>
        <v>9.7222222222222224E-2</v>
      </c>
      <c r="K32" s="40">
        <f t="shared" si="3"/>
        <v>0.11805555555555557</v>
      </c>
      <c r="L32" s="40">
        <f t="shared" si="3"/>
        <v>0.15277777777777776</v>
      </c>
      <c r="M32" s="40">
        <f t="shared" si="3"/>
        <v>8.6805555555555566E-2</v>
      </c>
      <c r="N32" s="41">
        <f t="shared" si="3"/>
        <v>8.6805555555555566E-2</v>
      </c>
      <c r="O32" s="42"/>
      <c r="P32" s="43"/>
    </row>
    <row r="33" spans="2:16" ht="20" thickBot="1" x14ac:dyDescent="0.3">
      <c r="B33" s="24" t="s">
        <v>14</v>
      </c>
      <c r="C33" s="44">
        <f>MAX(C21:C31)</f>
        <v>0.80555555555555547</v>
      </c>
      <c r="D33" s="44">
        <f>MAX(D21:D31)</f>
        <v>0.83333333333333337</v>
      </c>
      <c r="E33" s="44">
        <f t="shared" ref="E33:N33" si="4">MAX(E21:E31)</f>
        <v>0.55208333333333337</v>
      </c>
      <c r="F33" s="44">
        <f t="shared" si="4"/>
        <v>0.54166666666666663</v>
      </c>
      <c r="G33" s="44">
        <f t="shared" si="4"/>
        <v>0.5</v>
      </c>
      <c r="H33" s="44">
        <f t="shared" si="4"/>
        <v>0.64583333333333337</v>
      </c>
      <c r="I33" s="44">
        <f t="shared" si="4"/>
        <v>0.77083333333333337</v>
      </c>
      <c r="J33" s="44">
        <f t="shared" si="4"/>
        <v>0.75</v>
      </c>
      <c r="K33" s="44">
        <f t="shared" si="4"/>
        <v>0.52777777777777779</v>
      </c>
      <c r="L33" s="44">
        <f t="shared" si="4"/>
        <v>0.77083333333333337</v>
      </c>
      <c r="M33" s="44">
        <f t="shared" si="4"/>
        <v>0.77083333333333337</v>
      </c>
      <c r="N33" s="45">
        <f t="shared" si="4"/>
        <v>0.83333333333333337</v>
      </c>
      <c r="O33" s="42"/>
      <c r="P33" s="43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Holtz</dc:creator>
  <cp:lastModifiedBy>Microsoft Office User</cp:lastModifiedBy>
  <dcterms:created xsi:type="dcterms:W3CDTF">2023-09-15T07:07:57Z</dcterms:created>
  <dcterms:modified xsi:type="dcterms:W3CDTF">2023-09-20T15:21:03Z</dcterms:modified>
</cp:coreProperties>
</file>