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780" yWindow="525" windowWidth="20730" windowHeight="11700" activeTab="1"/>
  </bookViews>
  <sheets>
    <sheet name="Matlab" sheetId="1" r:id="rId1"/>
    <sheet name="Sched" sheetId="2" r:id="rId2"/>
    <sheet name="Cal" sheetId="3" state="hidden" r:id="rId3"/>
    <sheet name="Extra" sheetId="18" r:id="rId4"/>
  </sheet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87" i="2" l="1"/>
  <c r="O96" i="2"/>
  <c r="X88" i="2"/>
  <c r="P96" i="2"/>
  <c r="X89" i="2"/>
  <c r="Q96" i="2"/>
  <c r="X90" i="2"/>
  <c r="R96" i="2"/>
  <c r="X91" i="2"/>
  <c r="S96" i="2"/>
  <c r="X92" i="2"/>
  <c r="T96" i="2"/>
  <c r="X93" i="2"/>
  <c r="U96" i="2"/>
  <c r="X94" i="2"/>
  <c r="V96" i="2"/>
  <c r="X95" i="2"/>
  <c r="W96" i="2"/>
  <c r="X113" i="2"/>
  <c r="W87" i="2"/>
  <c r="O95" i="2"/>
  <c r="W88" i="2"/>
  <c r="P95" i="2"/>
  <c r="W89" i="2"/>
  <c r="Q95" i="2"/>
  <c r="W90" i="2"/>
  <c r="R95" i="2"/>
  <c r="W91" i="2"/>
  <c r="S95" i="2"/>
  <c r="W92" i="2"/>
  <c r="T95" i="2"/>
  <c r="W93" i="2"/>
  <c r="U95" i="2"/>
  <c r="W94" i="2"/>
  <c r="V95" i="2"/>
  <c r="W112" i="2"/>
  <c r="V87" i="2"/>
  <c r="O94" i="2"/>
  <c r="V88" i="2"/>
  <c r="P94" i="2"/>
  <c r="V89" i="2"/>
  <c r="Q94" i="2"/>
  <c r="V90" i="2"/>
  <c r="R94" i="2"/>
  <c r="V91" i="2"/>
  <c r="S94" i="2"/>
  <c r="V92" i="2"/>
  <c r="T94" i="2"/>
  <c r="V93" i="2"/>
  <c r="U94" i="2"/>
  <c r="V111" i="2"/>
  <c r="U87" i="2"/>
  <c r="O93" i="2"/>
  <c r="U88" i="2"/>
  <c r="P93" i="2"/>
  <c r="U89" i="2"/>
  <c r="Q93" i="2"/>
  <c r="U90" i="2"/>
  <c r="R93" i="2"/>
  <c r="U91" i="2"/>
  <c r="S93" i="2"/>
  <c r="U92" i="2"/>
  <c r="T93" i="2"/>
  <c r="U110" i="2"/>
  <c r="T87" i="2"/>
  <c r="O92" i="2"/>
  <c r="T88" i="2"/>
  <c r="P92" i="2"/>
  <c r="T89" i="2"/>
  <c r="Q92" i="2"/>
  <c r="T90" i="2"/>
  <c r="R92" i="2"/>
  <c r="T91" i="2"/>
  <c r="S92" i="2"/>
  <c r="T109" i="2"/>
  <c r="S87" i="2"/>
  <c r="O91" i="2"/>
  <c r="S88" i="2"/>
  <c r="P91" i="2"/>
  <c r="S89" i="2"/>
  <c r="Q91" i="2"/>
  <c r="S90" i="2"/>
  <c r="R91" i="2"/>
  <c r="S108" i="2"/>
  <c r="R87" i="2"/>
  <c r="O90" i="2"/>
  <c r="R88" i="2"/>
  <c r="P90" i="2"/>
  <c r="R89" i="2"/>
  <c r="Q90" i="2"/>
  <c r="R107" i="2"/>
  <c r="Q87" i="2"/>
  <c r="O89" i="2"/>
  <c r="Q88" i="2"/>
  <c r="P89" i="2"/>
  <c r="Q106" i="2"/>
  <c r="P87" i="2"/>
  <c r="O88" i="2"/>
  <c r="P88" i="2"/>
  <c r="Q89" i="2"/>
  <c r="R90" i="2"/>
  <c r="S91" i="2"/>
  <c r="T92" i="2"/>
  <c r="U93" i="2"/>
  <c r="V94" i="2"/>
  <c r="W95" i="2"/>
  <c r="X96" i="2"/>
  <c r="O87" i="2"/>
  <c r="P29" i="2"/>
  <c r="P30" i="2"/>
  <c r="P31" i="2"/>
  <c r="P32" i="2"/>
  <c r="P33" i="2"/>
  <c r="P34" i="2"/>
  <c r="P35" i="2"/>
  <c r="P36" i="2"/>
  <c r="P37" i="2"/>
  <c r="P38" i="2"/>
  <c r="Q29" i="2"/>
  <c r="Q30" i="2"/>
  <c r="Q31" i="2"/>
  <c r="Q32" i="2"/>
  <c r="Q33" i="2"/>
  <c r="Q34" i="2"/>
  <c r="Q35" i="2"/>
  <c r="Q36" i="2"/>
  <c r="Q37" i="2"/>
  <c r="Q38" i="2"/>
  <c r="R29" i="2"/>
  <c r="R30" i="2"/>
  <c r="R31" i="2"/>
  <c r="R32" i="2"/>
  <c r="R33" i="2"/>
  <c r="R34" i="2"/>
  <c r="R35" i="2"/>
  <c r="R36" i="2"/>
  <c r="R37" i="2"/>
  <c r="R38" i="2"/>
  <c r="S29" i="2"/>
  <c r="S30" i="2"/>
  <c r="S31" i="2"/>
  <c r="S32" i="2"/>
  <c r="S33" i="2"/>
  <c r="S34" i="2"/>
  <c r="S35" i="2"/>
  <c r="S36" i="2"/>
  <c r="S37" i="2"/>
  <c r="S38" i="2"/>
  <c r="T29" i="2"/>
  <c r="T30" i="2"/>
  <c r="T31" i="2"/>
  <c r="T32" i="2"/>
  <c r="T33" i="2"/>
  <c r="T34" i="2"/>
  <c r="T35" i="2"/>
  <c r="T36" i="2"/>
  <c r="T37" i="2"/>
  <c r="T38" i="2"/>
  <c r="U29" i="2"/>
  <c r="U30" i="2"/>
  <c r="U31" i="2"/>
  <c r="U32" i="2"/>
  <c r="U33" i="2"/>
  <c r="U34" i="2"/>
  <c r="U35" i="2"/>
  <c r="U36" i="2"/>
  <c r="U37" i="2"/>
  <c r="U38" i="2"/>
  <c r="V29" i="2"/>
  <c r="V30" i="2"/>
  <c r="V31" i="2"/>
  <c r="V32" i="2"/>
  <c r="V33" i="2"/>
  <c r="V34" i="2"/>
  <c r="V35" i="2"/>
  <c r="V36" i="2"/>
  <c r="V37" i="2"/>
  <c r="V38" i="2"/>
  <c r="W29" i="2"/>
  <c r="W30" i="2"/>
  <c r="W31" i="2"/>
  <c r="W32" i="2"/>
  <c r="W33" i="2"/>
  <c r="W34" i="2"/>
  <c r="W35" i="2"/>
  <c r="W36" i="2"/>
  <c r="W37" i="2"/>
  <c r="W38" i="2"/>
  <c r="X29" i="2"/>
  <c r="X30" i="2"/>
  <c r="X31" i="2"/>
  <c r="X32" i="2"/>
  <c r="X33" i="2"/>
  <c r="X34" i="2"/>
  <c r="X35" i="2"/>
  <c r="X36" i="2"/>
  <c r="X37" i="2"/>
  <c r="X38" i="2"/>
  <c r="O29" i="2"/>
  <c r="O30" i="2"/>
  <c r="O31" i="2"/>
  <c r="O32" i="2"/>
  <c r="O33" i="2"/>
  <c r="O34" i="2"/>
  <c r="O35" i="2"/>
  <c r="O36" i="2"/>
  <c r="O37" i="2"/>
  <c r="O38" i="2"/>
  <c r="X53" i="2"/>
  <c r="W53" i="2"/>
  <c r="V53" i="2"/>
  <c r="U53" i="2"/>
  <c r="T53" i="2"/>
  <c r="S53" i="2"/>
  <c r="R53" i="2"/>
  <c r="Q53" i="2"/>
  <c r="P53" i="2"/>
  <c r="O53" i="2"/>
  <c r="X63" i="2"/>
  <c r="W63" i="2"/>
  <c r="V63" i="2"/>
  <c r="U63" i="2"/>
  <c r="T63" i="2"/>
  <c r="S63" i="2"/>
  <c r="R63" i="2"/>
  <c r="Q63" i="2"/>
  <c r="P63" i="2"/>
  <c r="O63" i="2"/>
  <c r="X83" i="2"/>
  <c r="W83" i="2"/>
  <c r="V83" i="2"/>
  <c r="U83" i="2"/>
  <c r="T83" i="2"/>
  <c r="S83" i="2"/>
  <c r="R83" i="2"/>
  <c r="Q83" i="2"/>
  <c r="P83" i="2"/>
  <c r="O83" i="2"/>
  <c r="O73" i="2"/>
  <c r="P73" i="2"/>
  <c r="Q73" i="2"/>
  <c r="R73" i="2"/>
  <c r="S73" i="2"/>
  <c r="T73" i="2"/>
  <c r="U73" i="2"/>
  <c r="V73" i="2"/>
  <c r="W73" i="2"/>
  <c r="X73" i="2"/>
  <c r="U112" i="2" l="1"/>
  <c r="W110" i="2" s="1"/>
  <c r="Y96" i="2"/>
  <c r="Y38" i="2"/>
  <c r="U113" i="2"/>
  <c r="X110" i="2" s="1"/>
  <c r="Q113" i="2"/>
  <c r="X106" i="2" s="1"/>
  <c r="W113" i="2"/>
  <c r="X112" i="2" s="1"/>
  <c r="S113" i="2"/>
  <c r="X108" i="2" s="1"/>
  <c r="T113" i="2"/>
  <c r="X109" i="2" s="1"/>
  <c r="P113" i="2"/>
  <c r="X105" i="2" s="1"/>
  <c r="V113" i="2"/>
  <c r="X111" i="2" s="1"/>
  <c r="R113" i="2"/>
  <c r="X107" i="2" s="1"/>
  <c r="Y95" i="2"/>
  <c r="Y37" i="2"/>
  <c r="Q112" i="2"/>
  <c r="W106" i="2" s="1"/>
  <c r="R112" i="2"/>
  <c r="W107" i="2" s="1"/>
  <c r="V112" i="2"/>
  <c r="W111" i="2" s="1"/>
  <c r="S112" i="2"/>
  <c r="W108" i="2" s="1"/>
  <c r="O112" i="2"/>
  <c r="W104" i="2" s="1"/>
  <c r="T112" i="2"/>
  <c r="W109" i="2" s="1"/>
  <c r="P112" i="2"/>
  <c r="W105" i="2" s="1"/>
  <c r="S111" i="2"/>
  <c r="V108" i="2" s="1"/>
  <c r="O111" i="2"/>
  <c r="V104" i="2" s="1"/>
  <c r="U111" i="2"/>
  <c r="V110" i="2" s="1"/>
  <c r="Y94" i="2"/>
  <c r="Q111" i="2"/>
  <c r="V106" i="2" s="1"/>
  <c r="Y36" i="2"/>
  <c r="T111" i="2"/>
  <c r="V109" i="2" s="1"/>
  <c r="P111" i="2"/>
  <c r="V105" i="2" s="1"/>
  <c r="R111" i="2"/>
  <c r="V107" i="2" s="1"/>
  <c r="Q110" i="2"/>
  <c r="U106" i="2" s="1"/>
  <c r="Y93" i="2"/>
  <c r="Y35" i="2"/>
  <c r="S110" i="2"/>
  <c r="U108" i="2" s="1"/>
  <c r="T110" i="2"/>
  <c r="U109" i="2" s="1"/>
  <c r="P110" i="2"/>
  <c r="U105" i="2" s="1"/>
  <c r="R110" i="2"/>
  <c r="U107" i="2" s="1"/>
  <c r="Y92" i="2"/>
  <c r="Y34" i="2"/>
  <c r="P109" i="2"/>
  <c r="T105" i="2" s="1"/>
  <c r="R109" i="2"/>
  <c r="T107" i="2" s="1"/>
  <c r="S109" i="2"/>
  <c r="T108" i="2" s="1"/>
  <c r="O109" i="2"/>
  <c r="T104" i="2" s="1"/>
  <c r="Q109" i="2"/>
  <c r="T106" i="2" s="1"/>
  <c r="Y33" i="2"/>
  <c r="P108" i="2"/>
  <c r="S105" i="2" s="1"/>
  <c r="Y91" i="2"/>
  <c r="R108" i="2"/>
  <c r="S107" i="2" s="1"/>
  <c r="Q108" i="2"/>
  <c r="S106" i="2" s="1"/>
  <c r="Y32" i="2"/>
  <c r="Y90" i="2"/>
  <c r="Q107" i="2"/>
  <c r="R106" i="2" s="1"/>
  <c r="P107" i="2"/>
  <c r="R105" i="2" s="1"/>
  <c r="O106" i="2"/>
  <c r="Q104" i="2" s="1"/>
  <c r="Y31" i="2"/>
  <c r="Y89" i="2"/>
  <c r="P106" i="2"/>
  <c r="Q105" i="2" s="1"/>
  <c r="P97" i="2"/>
  <c r="X97" i="2"/>
  <c r="Y30" i="2"/>
  <c r="R97" i="2"/>
  <c r="Y88" i="2"/>
  <c r="V39" i="2"/>
  <c r="R39" i="2"/>
  <c r="O39" i="2"/>
  <c r="U39" i="2"/>
  <c r="Q39" i="2"/>
  <c r="X39" i="2"/>
  <c r="T39" i="2"/>
  <c r="P39" i="2"/>
  <c r="S97" i="2"/>
  <c r="O97" i="2"/>
  <c r="U97" i="2"/>
  <c r="W39" i="2"/>
  <c r="S39" i="2"/>
  <c r="O107" i="2"/>
  <c r="W97" i="2"/>
  <c r="O113" i="2"/>
  <c r="X104" i="2" s="1"/>
  <c r="V97" i="2"/>
  <c r="O110" i="2"/>
  <c r="U104" i="2" s="1"/>
  <c r="O105" i="2"/>
  <c r="P104" i="2" s="1"/>
  <c r="O108" i="2"/>
  <c r="S104" i="2" s="1"/>
  <c r="T97" i="2"/>
  <c r="Q97" i="2"/>
  <c r="Y87" i="2"/>
  <c r="Y29" i="2"/>
  <c r="X114" i="2" l="1"/>
  <c r="Y112" i="2"/>
  <c r="W114" i="2"/>
  <c r="V114" i="2"/>
  <c r="Y111" i="2"/>
  <c r="U114" i="2"/>
  <c r="T114" i="2"/>
  <c r="Y109" i="2"/>
  <c r="S114" i="2"/>
  <c r="Y107" i="2"/>
  <c r="P114" i="2"/>
  <c r="Q114" i="2"/>
  <c r="Y106" i="2"/>
  <c r="R104" i="2"/>
  <c r="R114" i="2" s="1"/>
  <c r="Y108" i="2"/>
  <c r="Y110" i="2"/>
  <c r="Y113" i="2"/>
  <c r="Y105" i="2"/>
  <c r="O114" i="2"/>
  <c r="Y104" i="2" l="1"/>
</calcChain>
</file>

<file path=xl/sharedStrings.xml><?xml version="1.0" encoding="utf-8"?>
<sst xmlns="http://schemas.openxmlformats.org/spreadsheetml/2006/main" count="1277" uniqueCount="59">
  <si>
    <t>Mileage Chart</t>
  </si>
  <si>
    <t>Fri</t>
  </si>
  <si>
    <t>Sat</t>
  </si>
  <si>
    <t>Sun</t>
  </si>
  <si>
    <t>Mon</t>
  </si>
  <si>
    <t>Tue</t>
  </si>
  <si>
    <t>Wed</t>
  </si>
  <si>
    <t>Thu</t>
  </si>
  <si>
    <t>Team Balance</t>
  </si>
  <si>
    <t>Total</t>
  </si>
  <si>
    <t>By Days:  Home</t>
  </si>
  <si>
    <t>By Days: Away</t>
  </si>
  <si>
    <t>By Days: Total</t>
  </si>
  <si>
    <t>@11</t>
  </si>
  <si>
    <t>@3</t>
  </si>
  <si>
    <t>@6</t>
  </si>
  <si>
    <t>@8</t>
  </si>
  <si>
    <t>@9</t>
  </si>
  <si>
    <t>@5</t>
  </si>
  <si>
    <t>@2</t>
  </si>
  <si>
    <t>@4</t>
  </si>
  <si>
    <t>@7</t>
  </si>
  <si>
    <t>@14</t>
  </si>
  <si>
    <t>@1</t>
  </si>
  <si>
    <t>@12</t>
  </si>
  <si>
    <t>@10</t>
  </si>
  <si>
    <t>@13</t>
  </si>
  <si>
    <t>OFF</t>
  </si>
  <si>
    <t>Games at Stadium</t>
  </si>
  <si>
    <t>Total Number of Rows of Input</t>
  </si>
  <si>
    <t>June</t>
  </si>
  <si>
    <t>July</t>
  </si>
  <si>
    <t>August</t>
  </si>
  <si>
    <t>September</t>
  </si>
  <si>
    <t>Home-Away Differential</t>
  </si>
  <si>
    <t>By Days: Home First Half</t>
  </si>
  <si>
    <t>JXN</t>
  </si>
  <si>
    <t>CHA</t>
  </si>
  <si>
    <t>TNS</t>
  </si>
  <si>
    <t>BIR</t>
  </si>
  <si>
    <t>MTG</t>
  </si>
  <si>
    <t>MIS</t>
  </si>
  <si>
    <t>BLX</t>
  </si>
  <si>
    <t>MOB</t>
  </si>
  <si>
    <t>PNS</t>
  </si>
  <si>
    <t>JAX</t>
  </si>
  <si>
    <t>@JXN</t>
  </si>
  <si>
    <t>@CHA</t>
  </si>
  <si>
    <t>@TNS</t>
  </si>
  <si>
    <t>@BIR</t>
  </si>
  <si>
    <t>@MTG</t>
  </si>
  <si>
    <t>@MIS</t>
  </si>
  <si>
    <t>@BLX</t>
  </si>
  <si>
    <t>@MOB</t>
  </si>
  <si>
    <t>@PNS</t>
  </si>
  <si>
    <t>@JAX</t>
  </si>
  <si>
    <t>Count of Ten Game Blocks</t>
  </si>
  <si>
    <t>Home</t>
  </si>
  <si>
    <t>Away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</si>
</sst>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6"/>
      <color theme="1"/>
      <name val="Aharoni"/>
      <charset val="177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">
    <xf numFmtId="0" fontId="0" fillId="0" borderId="0"/>
    <xf numFmtId="0" fontId="6" fillId="0" borderId="0"/>
  </cellStyleXfs>
  <cellXfs count="80">
    <xf numFmtId="0" fontId="0" fillId="0" borderId="0" xfId="0"/>
    <xf numFmtId="0" fontId="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1" fillId="0" borderId="0" xfId="0" applyFont="1"/>
    <xf numFmtId="0" fontId="0" fillId="0" borderId="1" xfId="0" applyBorder="1"/>
    <xf numFmtId="0" fontId="1" fillId="0" borderId="2" xfId="0" applyFont="1" applyBorder="1"/>
    <xf numFmtId="0" fontId="0" fillId="0" borderId="0" xfId="0" applyFill="1"/>
    <xf numFmtId="0" fontId="1" fillId="0" borderId="3" xfId="0" applyFont="1" applyBorder="1"/>
    <xf numFmtId="1" fontId="0" fillId="0" borderId="0" xfId="0" applyNumberFormat="1"/>
    <xf numFmtId="16" fontId="0" fillId="0" borderId="0" xfId="0" applyNumberFormat="1"/>
    <xf numFmtId="0" fontId="1" fillId="0" borderId="3" xfId="0" applyFont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3" xfId="0" applyBorder="1"/>
    <xf numFmtId="0" fontId="0" fillId="0" borderId="2" xfId="0" applyBorder="1"/>
    <xf numFmtId="0" fontId="1" fillId="0" borderId="2" xfId="0" quotePrefix="1" applyFont="1" applyBorder="1"/>
    <xf numFmtId="0" fontId="1" fillId="0" borderId="0" xfId="0" quotePrefix="1" applyFont="1"/>
    <xf numFmtId="0" fontId="0" fillId="5" borderId="0" xfId="0" applyFill="1"/>
    <xf numFmtId="0" fontId="0" fillId="0" borderId="0" xfId="0" applyFill="1" applyBorder="1"/>
    <xf numFmtId="0" fontId="1" fillId="0" borderId="0" xfId="0" applyFont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3" fillId="0" borderId="0" xfId="0" applyFont="1" applyFill="1" applyBorder="1" applyAlignment="1"/>
    <xf numFmtId="0" fontId="0" fillId="0" borderId="0" xfId="0" applyFill="1" applyBorder="1" applyAlignment="1"/>
    <xf numFmtId="0" fontId="0" fillId="6" borderId="0" xfId="0" applyFill="1" applyBorder="1" applyAlignment="1">
      <alignment horizontal="right"/>
    </xf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0" fillId="6" borderId="0" xfId="0" applyFill="1"/>
    <xf numFmtId="0" fontId="0" fillId="4" borderId="0" xfId="0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4" borderId="0" xfId="0" applyFill="1" applyBorder="1"/>
    <xf numFmtId="0" fontId="0" fillId="4" borderId="0" xfId="0" applyFill="1"/>
    <xf numFmtId="1" fontId="0" fillId="0" borderId="0" xfId="0" quotePrefix="1" applyNumberFormat="1"/>
    <xf numFmtId="0" fontId="5" fillId="0" borderId="0" xfId="0" applyFont="1"/>
    <xf numFmtId="1" fontId="0" fillId="0" borderId="0" xfId="0" applyNumberFormat="1" applyFill="1"/>
    <xf numFmtId="0" fontId="5" fillId="0" borderId="0" xfId="0" applyFont="1" applyFill="1" applyAlignment="1">
      <alignment horizontal="center"/>
    </xf>
    <xf numFmtId="0" fontId="0" fillId="0" borderId="0" xfId="0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3" borderId="0" xfId="0" quotePrefix="1" applyFill="1" applyAlignment="1">
      <alignment horizontal="right"/>
    </xf>
    <xf numFmtId="0" fontId="0" fillId="7" borderId="0" xfId="0" applyFill="1" applyBorder="1"/>
    <xf numFmtId="0" fontId="0" fillId="7" borderId="3" xfId="0" applyFill="1" applyBorder="1"/>
    <xf numFmtId="0" fontId="0" fillId="8" borderId="0" xfId="0" applyFill="1" applyBorder="1"/>
    <xf numFmtId="0" fontId="0" fillId="8" borderId="3" xfId="0" applyFill="1" applyBorder="1"/>
    <xf numFmtId="1" fontId="0" fillId="0" borderId="0" xfId="0" applyNumberFormat="1" applyFill="1" applyBorder="1"/>
    <xf numFmtId="0" fontId="1" fillId="0" borderId="0" xfId="0" quotePrefix="1" applyFont="1" applyBorder="1"/>
    <xf numFmtId="1" fontId="0" fillId="0" borderId="0" xfId="0" applyNumberFormat="1" applyFill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6" fillId="0" borderId="7" xfId="1" applyBorder="1"/>
    <xf numFmtId="0" fontId="1" fillId="0" borderId="0" xfId="0" applyFont="1" applyFill="1" applyBorder="1"/>
    <xf numFmtId="0" fontId="1" fillId="0" borderId="0" xfId="0" quotePrefix="1" applyFont="1" applyFill="1" applyBorder="1"/>
    <xf numFmtId="0" fontId="5" fillId="0" borderId="0" xfId="0" applyFont="1" applyFill="1" applyBorder="1"/>
    <xf numFmtId="1" fontId="0" fillId="0" borderId="0" xfId="0" applyNumberFormat="1" applyBorder="1"/>
    <xf numFmtId="1" fontId="0" fillId="0" borderId="0" xfId="0" quotePrefix="1" applyNumberFormat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0" xfId="0" applyBorder="1" applyAlignment="1">
      <alignment horizontal="right"/>
    </xf>
    <xf numFmtId="0" fontId="1" fillId="2" borderId="0" xfId="0" applyFont="1" applyFill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8" borderId="7" xfId="0" applyFill="1" applyBorder="1" applyAlignment="1">
      <alignment horizontal="right"/>
    </xf>
    <xf numFmtId="0" fontId="0" fillId="7" borderId="7" xfId="0" applyFill="1" applyBorder="1" applyAlignment="1">
      <alignment horizontal="right"/>
    </xf>
    <xf numFmtId="0" fontId="1" fillId="2" borderId="0" xfId="0" applyFont="1" applyFill="1" applyBorder="1" applyAlignment="1">
      <alignment horizontal="right"/>
    </xf>
    <xf numFmtId="0" fontId="1" fillId="0" borderId="0" xfId="0" quotePrefix="1" applyFont="1" applyAlignment="1">
      <alignment horizontal="right"/>
    </xf>
    <xf numFmtId="0" fontId="5" fillId="0" borderId="0" xfId="0" applyFont="1" applyAlignment="1">
      <alignment horizontal="right"/>
    </xf>
    <xf numFmtId="0" fontId="4" fillId="0" borderId="0" xfId="0" quotePrefix="1" applyFont="1" applyAlignment="1">
      <alignment horizontal="right"/>
    </xf>
    <xf numFmtId="1" fontId="0" fillId="0" borderId="0" xfId="0" applyNumberFormat="1" applyFont="1" applyFill="1" applyBorder="1" applyAlignment="1">
      <alignment horizontal="right"/>
    </xf>
    <xf numFmtId="0" fontId="0" fillId="0" borderId="0" xfId="0" applyFont="1" applyBorder="1" applyAlignment="1">
      <alignment horizontal="right"/>
    </xf>
    <xf numFmtId="1" fontId="0" fillId="0" borderId="5" xfId="0" applyNumberFormat="1" applyFont="1" applyBorder="1" applyAlignment="1">
      <alignment horizontal="right"/>
    </xf>
    <xf numFmtId="1" fontId="0" fillId="0" borderId="2" xfId="0" applyNumberFormat="1" applyFont="1" applyFill="1" applyBorder="1" applyAlignment="1">
      <alignment horizontal="right"/>
    </xf>
    <xf numFmtId="0" fontId="0" fillId="0" borderId="2" xfId="0" applyFill="1" applyBorder="1"/>
    <xf numFmtId="0" fontId="0" fillId="4" borderId="0" xfId="0" quotePrefix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right"/>
    </xf>
    <xf numFmtId="0" fontId="0" fillId="0" borderId="0" xfId="0" applyFill="1" applyAlignment="1">
      <alignment horizontal="right"/>
    </xf>
  </cellXfs>
  <cellStyles count="2">
    <cellStyle name="Normal" xfId="0" builtinId="0"/>
    <cellStyle name="Normal 2" xfId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19</xdr:row>
          <xdr:rowOff>66675</xdr:rowOff>
        </xdr:from>
        <xdr:to>
          <xdr:col>14</xdr:col>
          <xdr:colOff>257175</xdr:colOff>
          <xdr:row>21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 the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25</xdr:row>
          <xdr:rowOff>0</xdr:rowOff>
        </xdr:from>
        <xdr:to>
          <xdr:col>16</xdr:col>
          <xdr:colOff>104775</xdr:colOff>
          <xdr:row>26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 Up the Sheet (From Scratch)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21</xdr:row>
          <xdr:rowOff>180975</xdr:rowOff>
        </xdr:from>
        <xdr:to>
          <xdr:col>13</xdr:col>
          <xdr:colOff>600075</xdr:colOff>
          <xdr:row>23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InterColor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733425</xdr:colOff>
          <xdr:row>22</xdr:row>
          <xdr:rowOff>28575</xdr:rowOff>
        </xdr:from>
        <xdr:to>
          <xdr:col>15</xdr:col>
          <xdr:colOff>314325</xdr:colOff>
          <xdr:row>23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InterColorOn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200025</xdr:colOff>
          <xdr:row>22</xdr:row>
          <xdr:rowOff>66675</xdr:rowOff>
        </xdr:from>
        <xdr:to>
          <xdr:col>18</xdr:col>
          <xdr:colOff>180975</xdr:colOff>
          <xdr:row>23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Team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180975</xdr:colOff>
          <xdr:row>24</xdr:row>
          <xdr:rowOff>38100</xdr:rowOff>
        </xdr:from>
        <xdr:to>
          <xdr:col>18</xdr:col>
          <xdr:colOff>180975</xdr:colOff>
          <xdr:row>25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Number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19</xdr:row>
          <xdr:rowOff>114300</xdr:rowOff>
        </xdr:from>
        <xdr:to>
          <xdr:col>18</xdr:col>
          <xdr:colOff>28575</xdr:colOff>
          <xdr:row>21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500 Mile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333375</xdr:colOff>
          <xdr:row>20</xdr:row>
          <xdr:rowOff>161925</xdr:rowOff>
        </xdr:from>
        <xdr:to>
          <xdr:col>22</xdr:col>
          <xdr:colOff>9525</xdr:colOff>
          <xdr:row>22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Send to Calendar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54"/>
  <sheetViews>
    <sheetView topLeftCell="A27" workbookViewId="0">
      <selection activeCell="J40" sqref="J40"/>
    </sheetView>
  </sheetViews>
  <sheetFormatPr defaultColWidth="8.85546875" defaultRowHeight="15" x14ac:dyDescent="0.25"/>
  <cols>
    <col min="17" max="17" width="26.7109375" bestFit="1" customWidth="1"/>
  </cols>
  <sheetData>
    <row r="1" spans="1:17" x14ac:dyDescent="0.25">
      <c r="A1" s="37">
        <v>10</v>
      </c>
      <c r="B1" s="37">
        <v>2</v>
      </c>
      <c r="C1" s="37">
        <v>6</v>
      </c>
      <c r="D1" s="37">
        <v>4</v>
      </c>
      <c r="E1" s="37">
        <v>2</v>
      </c>
      <c r="F1" s="37">
        <v>6</v>
      </c>
      <c r="G1" s="37">
        <v>8</v>
      </c>
      <c r="H1" s="37">
        <v>8</v>
      </c>
      <c r="I1" s="37">
        <v>4</v>
      </c>
      <c r="J1" s="37">
        <v>10</v>
      </c>
      <c r="K1" s="37">
        <v>5</v>
      </c>
      <c r="L1" s="37"/>
      <c r="M1" s="37"/>
      <c r="N1" s="37"/>
      <c r="O1" s="37"/>
    </row>
    <row r="2" spans="1:17" x14ac:dyDescent="0.25">
      <c r="A2" s="37">
        <v>0</v>
      </c>
      <c r="B2" s="37">
        <v>0</v>
      </c>
      <c r="C2" s="37">
        <v>0</v>
      </c>
      <c r="D2" s="37">
        <v>0</v>
      </c>
      <c r="E2" s="37">
        <v>0</v>
      </c>
      <c r="F2" s="37">
        <v>0</v>
      </c>
      <c r="G2" s="37">
        <v>0</v>
      </c>
      <c r="H2" s="37">
        <v>0</v>
      </c>
      <c r="I2" s="37">
        <v>0</v>
      </c>
      <c r="J2" s="37">
        <v>0</v>
      </c>
      <c r="K2" s="37">
        <v>1</v>
      </c>
      <c r="L2" s="37"/>
      <c r="M2" s="37"/>
      <c r="N2" s="37"/>
      <c r="O2" s="37"/>
      <c r="Q2" t="s">
        <v>29</v>
      </c>
    </row>
    <row r="3" spans="1:17" x14ac:dyDescent="0.25">
      <c r="A3" s="37">
        <v>1</v>
      </c>
      <c r="B3" s="37">
        <v>7</v>
      </c>
      <c r="C3" s="37">
        <v>3</v>
      </c>
      <c r="D3" s="37">
        <v>1</v>
      </c>
      <c r="E3" s="37">
        <v>5</v>
      </c>
      <c r="F3" s="37">
        <v>9</v>
      </c>
      <c r="G3" s="37">
        <v>7</v>
      </c>
      <c r="H3" s="37">
        <v>3</v>
      </c>
      <c r="I3" s="37">
        <v>9</v>
      </c>
      <c r="J3" s="37">
        <v>5</v>
      </c>
      <c r="K3" s="37">
        <v>5</v>
      </c>
      <c r="L3" s="37"/>
      <c r="M3" s="37"/>
      <c r="N3" s="37"/>
      <c r="O3" s="37"/>
      <c r="Q3" s="18">
        <v>40</v>
      </c>
    </row>
    <row r="4" spans="1:17" x14ac:dyDescent="0.25">
      <c r="A4" s="37">
        <v>5</v>
      </c>
      <c r="B4" s="37">
        <v>2</v>
      </c>
      <c r="C4" s="37">
        <v>4</v>
      </c>
      <c r="D4" s="37">
        <v>4</v>
      </c>
      <c r="E4" s="37">
        <v>5</v>
      </c>
      <c r="F4" s="37">
        <v>6</v>
      </c>
      <c r="G4" s="37">
        <v>6</v>
      </c>
      <c r="H4" s="37">
        <v>2</v>
      </c>
      <c r="I4" s="37">
        <v>10</v>
      </c>
      <c r="J4" s="37">
        <v>10</v>
      </c>
      <c r="K4" s="37">
        <v>5</v>
      </c>
      <c r="L4" s="37"/>
      <c r="M4" s="37"/>
      <c r="N4" s="37"/>
      <c r="O4" s="37"/>
    </row>
    <row r="5" spans="1:17" x14ac:dyDescent="0.25">
      <c r="A5" s="37">
        <v>1</v>
      </c>
      <c r="B5" s="37">
        <v>1</v>
      </c>
      <c r="C5" s="37">
        <v>3</v>
      </c>
      <c r="D5" s="37">
        <v>4</v>
      </c>
      <c r="E5" s="37">
        <v>3</v>
      </c>
      <c r="F5" s="37">
        <v>4</v>
      </c>
      <c r="G5" s="37">
        <v>7</v>
      </c>
      <c r="H5" s="37">
        <v>8</v>
      </c>
      <c r="I5" s="37">
        <v>8</v>
      </c>
      <c r="J5" s="37">
        <v>7</v>
      </c>
      <c r="K5" s="37">
        <v>5</v>
      </c>
      <c r="L5" s="37"/>
      <c r="M5" s="37"/>
      <c r="N5" s="37"/>
      <c r="O5" s="37"/>
    </row>
    <row r="6" spans="1:17" x14ac:dyDescent="0.25">
      <c r="A6" s="37">
        <v>1</v>
      </c>
      <c r="B6" s="37">
        <v>2</v>
      </c>
      <c r="C6" s="37">
        <v>9</v>
      </c>
      <c r="D6" s="37">
        <v>5</v>
      </c>
      <c r="E6" s="37">
        <v>5</v>
      </c>
      <c r="F6" s="37">
        <v>6</v>
      </c>
      <c r="G6" s="37">
        <v>2</v>
      </c>
      <c r="H6" s="37">
        <v>1</v>
      </c>
      <c r="I6" s="37">
        <v>9</v>
      </c>
      <c r="J6" s="37">
        <v>6</v>
      </c>
      <c r="K6" s="37">
        <v>5</v>
      </c>
      <c r="L6" s="37"/>
      <c r="M6" s="37"/>
      <c r="N6" s="37"/>
      <c r="O6" s="37"/>
    </row>
    <row r="7" spans="1:17" x14ac:dyDescent="0.25">
      <c r="A7" s="37">
        <v>0</v>
      </c>
      <c r="B7" s="37">
        <v>0</v>
      </c>
      <c r="C7" s="37">
        <v>0</v>
      </c>
      <c r="D7" s="37">
        <v>0</v>
      </c>
      <c r="E7" s="37">
        <v>0</v>
      </c>
      <c r="F7" s="37">
        <v>0</v>
      </c>
      <c r="G7" s="37">
        <v>0</v>
      </c>
      <c r="H7" s="37">
        <v>0</v>
      </c>
      <c r="I7" s="37">
        <v>0</v>
      </c>
      <c r="J7" s="37">
        <v>0</v>
      </c>
      <c r="K7" s="37">
        <v>1</v>
      </c>
      <c r="L7" s="37"/>
      <c r="M7" s="37"/>
      <c r="N7" s="37"/>
      <c r="O7" s="37"/>
    </row>
    <row r="8" spans="1:17" x14ac:dyDescent="0.25">
      <c r="A8" s="37">
        <v>3</v>
      </c>
      <c r="B8" s="37">
        <v>4</v>
      </c>
      <c r="C8" s="37">
        <v>3</v>
      </c>
      <c r="D8" s="37">
        <v>4</v>
      </c>
      <c r="E8" s="37">
        <v>10</v>
      </c>
      <c r="F8" s="37">
        <v>8</v>
      </c>
      <c r="G8" s="37">
        <v>7</v>
      </c>
      <c r="H8" s="37">
        <v>8</v>
      </c>
      <c r="I8" s="37">
        <v>7</v>
      </c>
      <c r="J8" s="37">
        <v>10</v>
      </c>
      <c r="K8" s="37">
        <v>5</v>
      </c>
      <c r="L8" s="37"/>
      <c r="M8" s="37"/>
      <c r="N8" s="37"/>
      <c r="O8" s="37"/>
    </row>
    <row r="9" spans="1:17" x14ac:dyDescent="0.25">
      <c r="A9" s="37">
        <v>2</v>
      </c>
      <c r="B9" s="37">
        <v>2</v>
      </c>
      <c r="C9" s="37">
        <v>5</v>
      </c>
      <c r="D9" s="37">
        <v>6</v>
      </c>
      <c r="E9" s="37">
        <v>5</v>
      </c>
      <c r="F9" s="37">
        <v>6</v>
      </c>
      <c r="G9" s="37">
        <v>10</v>
      </c>
      <c r="H9" s="37">
        <v>9</v>
      </c>
      <c r="I9" s="37">
        <v>9</v>
      </c>
      <c r="J9" s="37">
        <v>10</v>
      </c>
      <c r="K9" s="37">
        <v>5</v>
      </c>
      <c r="L9" s="37"/>
      <c r="M9" s="37"/>
      <c r="N9" s="37"/>
      <c r="O9" s="37"/>
    </row>
    <row r="10" spans="1:17" x14ac:dyDescent="0.25">
      <c r="A10" s="37">
        <v>1</v>
      </c>
      <c r="B10" s="37">
        <v>2</v>
      </c>
      <c r="C10" s="37">
        <v>1</v>
      </c>
      <c r="D10" s="37">
        <v>4</v>
      </c>
      <c r="E10" s="37">
        <v>4</v>
      </c>
      <c r="F10" s="37">
        <v>6</v>
      </c>
      <c r="G10" s="37">
        <v>8</v>
      </c>
      <c r="H10" s="37">
        <v>8</v>
      </c>
      <c r="I10" s="37">
        <v>6</v>
      </c>
      <c r="J10" s="37">
        <v>2</v>
      </c>
      <c r="K10" s="37">
        <v>5</v>
      </c>
      <c r="L10" s="37"/>
      <c r="M10" s="37"/>
      <c r="N10" s="37"/>
      <c r="O10" s="37"/>
    </row>
    <row r="11" spans="1:17" x14ac:dyDescent="0.25">
      <c r="A11" s="37">
        <v>7</v>
      </c>
      <c r="B11" s="37">
        <v>3</v>
      </c>
      <c r="C11" s="37">
        <v>3</v>
      </c>
      <c r="D11" s="37">
        <v>9</v>
      </c>
      <c r="E11" s="37">
        <v>5</v>
      </c>
      <c r="F11" s="37">
        <v>5</v>
      </c>
      <c r="G11" s="37">
        <v>7</v>
      </c>
      <c r="H11" s="37">
        <v>10</v>
      </c>
      <c r="I11" s="37">
        <v>9</v>
      </c>
      <c r="J11" s="37">
        <v>10</v>
      </c>
      <c r="K11" s="37">
        <v>5</v>
      </c>
      <c r="L11" s="37"/>
      <c r="M11" s="37"/>
      <c r="N11" s="37"/>
      <c r="O11" s="37"/>
    </row>
    <row r="12" spans="1:17" x14ac:dyDescent="0.25">
      <c r="A12" s="37">
        <v>0</v>
      </c>
      <c r="B12" s="37">
        <v>0</v>
      </c>
      <c r="C12" s="37">
        <v>0</v>
      </c>
      <c r="D12" s="37">
        <v>0</v>
      </c>
      <c r="E12" s="37">
        <v>0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1</v>
      </c>
      <c r="L12" s="37"/>
      <c r="M12" s="37"/>
      <c r="N12" s="37"/>
      <c r="O12" s="37"/>
    </row>
    <row r="13" spans="1:17" x14ac:dyDescent="0.25">
      <c r="A13" s="37">
        <v>1</v>
      </c>
      <c r="B13" s="37">
        <v>2</v>
      </c>
      <c r="C13" s="37">
        <v>8</v>
      </c>
      <c r="D13" s="37">
        <v>2</v>
      </c>
      <c r="E13" s="37">
        <v>1</v>
      </c>
      <c r="F13" s="37">
        <v>6</v>
      </c>
      <c r="G13" s="37">
        <v>9</v>
      </c>
      <c r="H13" s="37">
        <v>8</v>
      </c>
      <c r="I13" s="37">
        <v>9</v>
      </c>
      <c r="J13" s="37">
        <v>6</v>
      </c>
      <c r="K13" s="37">
        <v>5</v>
      </c>
      <c r="L13" s="37"/>
      <c r="M13" s="37"/>
      <c r="N13" s="37"/>
      <c r="O13" s="37"/>
    </row>
    <row r="14" spans="1:17" x14ac:dyDescent="0.25">
      <c r="A14" s="37">
        <v>0</v>
      </c>
      <c r="B14" s="37">
        <v>0</v>
      </c>
      <c r="C14" s="37">
        <v>0</v>
      </c>
      <c r="D14" s="37">
        <v>0</v>
      </c>
      <c r="E14" s="37">
        <v>0</v>
      </c>
      <c r="F14" s="37">
        <v>0</v>
      </c>
      <c r="G14" s="37">
        <v>0</v>
      </c>
      <c r="H14" s="37">
        <v>0</v>
      </c>
      <c r="I14" s="37">
        <v>0</v>
      </c>
      <c r="J14" s="37">
        <v>0</v>
      </c>
      <c r="K14" s="37">
        <v>1</v>
      </c>
      <c r="L14" s="37"/>
      <c r="M14" s="37"/>
      <c r="N14" s="37"/>
      <c r="O14" s="37"/>
    </row>
    <row r="15" spans="1:17" x14ac:dyDescent="0.25">
      <c r="A15" s="37">
        <v>4</v>
      </c>
      <c r="B15" s="37">
        <v>5</v>
      </c>
      <c r="C15" s="37">
        <v>3</v>
      </c>
      <c r="D15" s="37">
        <v>4</v>
      </c>
      <c r="E15" s="37">
        <v>5</v>
      </c>
      <c r="F15" s="37">
        <v>3</v>
      </c>
      <c r="G15" s="37">
        <v>7</v>
      </c>
      <c r="H15" s="37">
        <v>7</v>
      </c>
      <c r="I15" s="37">
        <v>10</v>
      </c>
      <c r="J15" s="37">
        <v>10</v>
      </c>
      <c r="K15" s="37">
        <v>5</v>
      </c>
      <c r="L15" s="37"/>
      <c r="M15" s="37"/>
      <c r="N15" s="37"/>
      <c r="O15" s="37"/>
    </row>
    <row r="16" spans="1:17" x14ac:dyDescent="0.25">
      <c r="A16" s="37">
        <v>1</v>
      </c>
      <c r="B16" s="37">
        <v>2</v>
      </c>
      <c r="C16" s="37">
        <v>2</v>
      </c>
      <c r="D16" s="37">
        <v>7</v>
      </c>
      <c r="E16" s="37">
        <v>9</v>
      </c>
      <c r="F16" s="37">
        <v>1</v>
      </c>
      <c r="G16" s="37">
        <v>7</v>
      </c>
      <c r="H16" s="37">
        <v>8</v>
      </c>
      <c r="I16" s="37">
        <v>9</v>
      </c>
      <c r="J16" s="37">
        <v>8</v>
      </c>
      <c r="K16" s="37">
        <v>5</v>
      </c>
      <c r="L16" s="37"/>
      <c r="M16" s="37"/>
      <c r="N16" s="37"/>
      <c r="O16" s="37"/>
    </row>
    <row r="17" spans="1:15" x14ac:dyDescent="0.25">
      <c r="A17" s="37">
        <v>3</v>
      </c>
      <c r="B17" s="37">
        <v>4</v>
      </c>
      <c r="C17" s="37">
        <v>3</v>
      </c>
      <c r="D17" s="37">
        <v>4</v>
      </c>
      <c r="E17" s="37">
        <v>5</v>
      </c>
      <c r="F17" s="37">
        <v>6</v>
      </c>
      <c r="G17" s="37">
        <v>10</v>
      </c>
      <c r="H17" s="37">
        <v>5</v>
      </c>
      <c r="I17" s="37">
        <v>6</v>
      </c>
      <c r="J17" s="37">
        <v>10</v>
      </c>
      <c r="K17" s="37">
        <v>5</v>
      </c>
      <c r="L17" s="37"/>
      <c r="M17" s="37"/>
      <c r="N17" s="37"/>
      <c r="O17" s="37"/>
    </row>
    <row r="18" spans="1:15" x14ac:dyDescent="0.25">
      <c r="A18" s="37">
        <v>1</v>
      </c>
      <c r="B18" s="37">
        <v>7</v>
      </c>
      <c r="C18" s="37">
        <v>3</v>
      </c>
      <c r="D18" s="37">
        <v>3</v>
      </c>
      <c r="E18" s="37">
        <v>1</v>
      </c>
      <c r="F18" s="37">
        <v>8</v>
      </c>
      <c r="G18" s="37">
        <v>7</v>
      </c>
      <c r="H18" s="37">
        <v>8</v>
      </c>
      <c r="I18" s="37">
        <v>9</v>
      </c>
      <c r="J18" s="37">
        <v>9</v>
      </c>
      <c r="K18" s="37">
        <v>5</v>
      </c>
      <c r="L18" s="37"/>
      <c r="M18" s="37"/>
      <c r="N18" s="37"/>
      <c r="O18" s="37"/>
    </row>
    <row r="19" spans="1:15" x14ac:dyDescent="0.25">
      <c r="A19" s="37">
        <v>0</v>
      </c>
      <c r="B19" s="37">
        <v>0</v>
      </c>
      <c r="C19" s="37">
        <v>0</v>
      </c>
      <c r="D19" s="37">
        <v>0</v>
      </c>
      <c r="E19" s="37">
        <v>0</v>
      </c>
      <c r="F19" s="37">
        <v>0</v>
      </c>
      <c r="G19" s="37">
        <v>0</v>
      </c>
      <c r="H19" s="37">
        <v>0</v>
      </c>
      <c r="I19" s="37">
        <v>0</v>
      </c>
      <c r="J19" s="37">
        <v>0</v>
      </c>
      <c r="K19" s="37">
        <v>1</v>
      </c>
      <c r="L19" s="37"/>
      <c r="M19" s="37"/>
      <c r="N19" s="37"/>
      <c r="O19" s="37"/>
    </row>
    <row r="20" spans="1:15" x14ac:dyDescent="0.25">
      <c r="A20" s="37">
        <v>0</v>
      </c>
      <c r="B20" s="37">
        <v>0</v>
      </c>
      <c r="C20" s="37">
        <v>0</v>
      </c>
      <c r="D20" s="37">
        <v>0</v>
      </c>
      <c r="E20" s="37">
        <v>0</v>
      </c>
      <c r="F20" s="37">
        <v>0</v>
      </c>
      <c r="G20" s="37">
        <v>0</v>
      </c>
      <c r="H20" s="37">
        <v>0</v>
      </c>
      <c r="I20" s="37">
        <v>0</v>
      </c>
      <c r="J20" s="37">
        <v>0</v>
      </c>
      <c r="K20" s="37">
        <v>1</v>
      </c>
      <c r="L20" s="37"/>
      <c r="M20" s="37"/>
      <c r="N20" s="37"/>
      <c r="O20" s="37"/>
    </row>
    <row r="21" spans="1:15" x14ac:dyDescent="0.25">
      <c r="A21" s="37">
        <v>0</v>
      </c>
      <c r="B21" s="37">
        <v>0</v>
      </c>
      <c r="C21" s="37">
        <v>0</v>
      </c>
      <c r="D21" s="37">
        <v>0</v>
      </c>
      <c r="E21" s="37">
        <v>0</v>
      </c>
      <c r="F21" s="37">
        <v>0</v>
      </c>
      <c r="G21" s="37">
        <v>0</v>
      </c>
      <c r="H21" s="37">
        <v>0</v>
      </c>
      <c r="I21" s="37">
        <v>0</v>
      </c>
      <c r="J21" s="37">
        <v>0</v>
      </c>
      <c r="K21" s="37">
        <v>1</v>
      </c>
      <c r="L21" s="37"/>
      <c r="M21" s="37"/>
      <c r="N21" s="37"/>
      <c r="O21" s="37"/>
    </row>
    <row r="22" spans="1:15" x14ac:dyDescent="0.25">
      <c r="A22" s="37">
        <v>2</v>
      </c>
      <c r="B22" s="37">
        <v>2</v>
      </c>
      <c r="C22" s="37">
        <v>10</v>
      </c>
      <c r="D22" s="37">
        <v>4</v>
      </c>
      <c r="E22" s="37">
        <v>5</v>
      </c>
      <c r="F22" s="37">
        <v>6</v>
      </c>
      <c r="G22" s="37">
        <v>6</v>
      </c>
      <c r="H22" s="37">
        <v>4</v>
      </c>
      <c r="I22" s="37">
        <v>5</v>
      </c>
      <c r="J22" s="37">
        <v>10</v>
      </c>
      <c r="K22" s="37">
        <v>5</v>
      </c>
      <c r="L22" s="37"/>
      <c r="M22" s="37"/>
      <c r="N22" s="37"/>
      <c r="O22" s="37"/>
    </row>
    <row r="23" spans="1:15" x14ac:dyDescent="0.25">
      <c r="A23" s="37">
        <v>1</v>
      </c>
      <c r="B23" s="37">
        <v>2</v>
      </c>
      <c r="C23" s="37">
        <v>2</v>
      </c>
      <c r="D23" s="37">
        <v>1</v>
      </c>
      <c r="E23" s="37">
        <v>7</v>
      </c>
      <c r="F23" s="37">
        <v>9</v>
      </c>
      <c r="G23" s="37">
        <v>7</v>
      </c>
      <c r="H23" s="37">
        <v>8</v>
      </c>
      <c r="I23" s="37">
        <v>9</v>
      </c>
      <c r="J23" s="37">
        <v>8</v>
      </c>
      <c r="K23" s="37">
        <v>5</v>
      </c>
      <c r="L23" s="37"/>
      <c r="M23" s="37"/>
      <c r="N23" s="37"/>
      <c r="O23" s="37"/>
    </row>
    <row r="24" spans="1:15" x14ac:dyDescent="0.25">
      <c r="A24" s="37">
        <v>5</v>
      </c>
      <c r="B24" s="37">
        <v>10</v>
      </c>
      <c r="C24" s="37">
        <v>3</v>
      </c>
      <c r="D24" s="37">
        <v>3</v>
      </c>
      <c r="E24" s="37">
        <v>5</v>
      </c>
      <c r="F24" s="37">
        <v>6</v>
      </c>
      <c r="G24" s="37">
        <v>9</v>
      </c>
      <c r="H24" s="37">
        <v>6</v>
      </c>
      <c r="I24" s="37">
        <v>9</v>
      </c>
      <c r="J24" s="37">
        <v>10</v>
      </c>
      <c r="K24" s="37">
        <v>4</v>
      </c>
      <c r="L24" s="37"/>
      <c r="M24" s="37"/>
      <c r="N24" s="37"/>
      <c r="O24" s="37"/>
    </row>
    <row r="25" spans="1:15" x14ac:dyDescent="0.25">
      <c r="A25" s="37">
        <v>1</v>
      </c>
      <c r="B25" s="37">
        <v>2</v>
      </c>
      <c r="C25" s="37">
        <v>1</v>
      </c>
      <c r="D25" s="37">
        <v>4</v>
      </c>
      <c r="E25" s="37">
        <v>2</v>
      </c>
      <c r="F25" s="37">
        <v>7</v>
      </c>
      <c r="G25" s="37">
        <v>7</v>
      </c>
      <c r="H25" s="37">
        <v>8</v>
      </c>
      <c r="I25" s="37">
        <v>8</v>
      </c>
      <c r="J25" s="37">
        <v>4</v>
      </c>
      <c r="K25" s="37">
        <v>6</v>
      </c>
      <c r="L25" s="37"/>
      <c r="M25" s="37"/>
      <c r="N25" s="37"/>
      <c r="O25" s="37"/>
    </row>
    <row r="26" spans="1:15" x14ac:dyDescent="0.25">
      <c r="A26" s="37">
        <v>0</v>
      </c>
      <c r="B26" s="37">
        <v>0</v>
      </c>
      <c r="C26" s="37">
        <v>0</v>
      </c>
      <c r="D26" s="37">
        <v>0</v>
      </c>
      <c r="E26" s="37">
        <v>0</v>
      </c>
      <c r="F26" s="37">
        <v>0</v>
      </c>
      <c r="G26" s="37">
        <v>0</v>
      </c>
      <c r="H26" s="37">
        <v>0</v>
      </c>
      <c r="I26" s="37">
        <v>0</v>
      </c>
      <c r="J26" s="37">
        <v>0</v>
      </c>
      <c r="K26" s="37">
        <v>1</v>
      </c>
      <c r="L26" s="37"/>
      <c r="M26" s="37"/>
      <c r="N26" s="37"/>
      <c r="O26" s="37"/>
    </row>
    <row r="27" spans="1:15" x14ac:dyDescent="0.25">
      <c r="A27" s="37">
        <v>6</v>
      </c>
      <c r="B27" s="37">
        <v>9</v>
      </c>
      <c r="C27" s="37">
        <v>3</v>
      </c>
      <c r="D27" s="37">
        <v>5</v>
      </c>
      <c r="E27" s="37">
        <v>5</v>
      </c>
      <c r="F27" s="37">
        <v>6</v>
      </c>
      <c r="G27" s="37">
        <v>3</v>
      </c>
      <c r="H27" s="37">
        <v>10</v>
      </c>
      <c r="I27" s="37">
        <v>9</v>
      </c>
      <c r="J27" s="37">
        <v>10</v>
      </c>
      <c r="K27" s="37">
        <v>6</v>
      </c>
      <c r="L27" s="37"/>
      <c r="M27" s="37"/>
      <c r="N27" s="37"/>
      <c r="O27" s="37"/>
    </row>
    <row r="28" spans="1:15" x14ac:dyDescent="0.25">
      <c r="A28" s="37">
        <v>0</v>
      </c>
      <c r="B28" s="37">
        <v>0</v>
      </c>
      <c r="C28" s="37">
        <v>0</v>
      </c>
      <c r="D28" s="37">
        <v>0</v>
      </c>
      <c r="E28" s="37">
        <v>0</v>
      </c>
      <c r="F28" s="37">
        <v>0</v>
      </c>
      <c r="G28" s="37">
        <v>0</v>
      </c>
      <c r="H28" s="37">
        <v>0</v>
      </c>
      <c r="I28" s="37">
        <v>0</v>
      </c>
      <c r="J28" s="37">
        <v>0</v>
      </c>
      <c r="K28" s="37">
        <v>1</v>
      </c>
      <c r="L28" s="37"/>
      <c r="M28" s="37"/>
      <c r="N28" s="37"/>
      <c r="O28" s="37"/>
    </row>
    <row r="29" spans="1:15" x14ac:dyDescent="0.25">
      <c r="A29" s="37">
        <v>1</v>
      </c>
      <c r="B29" s="37">
        <v>2</v>
      </c>
      <c r="C29" s="37">
        <v>4</v>
      </c>
      <c r="D29" s="37">
        <v>4</v>
      </c>
      <c r="E29" s="37">
        <v>8</v>
      </c>
      <c r="F29" s="37">
        <v>2</v>
      </c>
      <c r="G29" s="37">
        <v>7</v>
      </c>
      <c r="H29" s="37">
        <v>8</v>
      </c>
      <c r="I29" s="37">
        <v>1</v>
      </c>
      <c r="J29" s="37">
        <v>7</v>
      </c>
      <c r="K29" s="37">
        <v>4</v>
      </c>
      <c r="L29" s="37"/>
      <c r="M29" s="37"/>
      <c r="N29" s="37"/>
      <c r="O29" s="37"/>
    </row>
    <row r="30" spans="1:15" x14ac:dyDescent="0.25">
      <c r="A30" s="37">
        <v>3</v>
      </c>
      <c r="B30" s="37">
        <v>5</v>
      </c>
      <c r="C30" s="37">
        <v>3</v>
      </c>
      <c r="D30" s="37">
        <v>10</v>
      </c>
      <c r="E30" s="37">
        <v>5</v>
      </c>
      <c r="F30" s="37">
        <v>6</v>
      </c>
      <c r="G30" s="37">
        <v>6</v>
      </c>
      <c r="H30" s="37">
        <v>9</v>
      </c>
      <c r="I30" s="37">
        <v>9</v>
      </c>
      <c r="J30" s="37">
        <v>10</v>
      </c>
      <c r="K30" s="37">
        <v>5</v>
      </c>
      <c r="L30" s="37"/>
      <c r="M30" s="37"/>
      <c r="N30" s="37"/>
      <c r="O30" s="37"/>
    </row>
    <row r="31" spans="1:15" x14ac:dyDescent="0.25">
      <c r="A31" s="37">
        <v>4</v>
      </c>
      <c r="B31" s="37">
        <v>2</v>
      </c>
      <c r="C31" s="37">
        <v>2</v>
      </c>
      <c r="D31" s="37">
        <v>4</v>
      </c>
      <c r="E31" s="37">
        <v>5</v>
      </c>
      <c r="F31" s="37">
        <v>5</v>
      </c>
      <c r="G31" s="37">
        <v>7</v>
      </c>
      <c r="H31" s="37">
        <v>10</v>
      </c>
      <c r="I31" s="37">
        <v>7</v>
      </c>
      <c r="J31" s="37">
        <v>10</v>
      </c>
      <c r="K31" s="37">
        <v>5</v>
      </c>
      <c r="L31" s="37"/>
      <c r="M31" s="37"/>
      <c r="N31" s="37"/>
      <c r="O31" s="37"/>
    </row>
    <row r="32" spans="1:15" x14ac:dyDescent="0.25">
      <c r="A32" s="37">
        <v>1</v>
      </c>
      <c r="B32" s="37">
        <v>6</v>
      </c>
      <c r="C32" s="37">
        <v>3</v>
      </c>
      <c r="D32" s="37">
        <v>8</v>
      </c>
      <c r="E32" s="37">
        <v>3</v>
      </c>
      <c r="F32" s="37">
        <v>6</v>
      </c>
      <c r="G32" s="37">
        <v>1</v>
      </c>
      <c r="H32" s="37">
        <v>8</v>
      </c>
      <c r="I32" s="37">
        <v>9</v>
      </c>
      <c r="J32" s="37">
        <v>9</v>
      </c>
      <c r="K32" s="37">
        <v>5</v>
      </c>
      <c r="L32" s="37"/>
      <c r="M32" s="37"/>
      <c r="N32" s="37"/>
      <c r="O32" s="37"/>
    </row>
    <row r="33" spans="1:15" x14ac:dyDescent="0.25">
      <c r="A33" s="37">
        <v>0</v>
      </c>
      <c r="B33" s="37">
        <v>0</v>
      </c>
      <c r="C33" s="37">
        <v>0</v>
      </c>
      <c r="D33" s="37">
        <v>0</v>
      </c>
      <c r="E33" s="37">
        <v>0</v>
      </c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v>1</v>
      </c>
      <c r="L33" s="37"/>
      <c r="M33" s="37"/>
      <c r="N33" s="37"/>
      <c r="O33" s="37"/>
    </row>
    <row r="34" spans="1:15" x14ac:dyDescent="0.25">
      <c r="A34" s="37">
        <v>8</v>
      </c>
      <c r="B34" s="37">
        <v>2</v>
      </c>
      <c r="C34" s="37">
        <v>7</v>
      </c>
      <c r="D34" s="37">
        <v>4</v>
      </c>
      <c r="E34" s="37">
        <v>4</v>
      </c>
      <c r="F34" s="37">
        <v>10</v>
      </c>
      <c r="G34" s="37">
        <v>7</v>
      </c>
      <c r="H34" s="37">
        <v>8</v>
      </c>
      <c r="I34" s="37">
        <v>2</v>
      </c>
      <c r="J34" s="37">
        <v>10</v>
      </c>
      <c r="K34" s="37">
        <v>5</v>
      </c>
      <c r="L34" s="37"/>
      <c r="M34" s="37"/>
      <c r="N34" s="37"/>
      <c r="O34" s="37"/>
    </row>
    <row r="35" spans="1:15" x14ac:dyDescent="0.25">
      <c r="A35" s="37">
        <v>0</v>
      </c>
      <c r="B35" s="37">
        <v>0</v>
      </c>
      <c r="C35" s="37">
        <v>0</v>
      </c>
      <c r="D35" s="37">
        <v>0</v>
      </c>
      <c r="E35" s="37">
        <v>0</v>
      </c>
      <c r="F35" s="37">
        <v>0</v>
      </c>
      <c r="G35" s="37">
        <v>0</v>
      </c>
      <c r="H35" s="37">
        <v>0</v>
      </c>
      <c r="I35" s="37">
        <v>0</v>
      </c>
      <c r="J35" s="37">
        <v>0</v>
      </c>
      <c r="K35" s="37">
        <v>1</v>
      </c>
      <c r="L35" s="37"/>
      <c r="M35" s="37"/>
      <c r="N35" s="37"/>
      <c r="O35" s="37"/>
    </row>
    <row r="36" spans="1:15" x14ac:dyDescent="0.25">
      <c r="A36" s="37">
        <v>1</v>
      </c>
      <c r="B36" s="37">
        <v>1</v>
      </c>
      <c r="C36" s="37">
        <v>3</v>
      </c>
      <c r="D36" s="37">
        <v>9</v>
      </c>
      <c r="E36" s="37">
        <v>5</v>
      </c>
      <c r="F36" s="37">
        <v>6</v>
      </c>
      <c r="G36" s="37">
        <v>5</v>
      </c>
      <c r="H36" s="37">
        <v>6</v>
      </c>
      <c r="I36" s="37">
        <v>9</v>
      </c>
      <c r="J36" s="37">
        <v>3</v>
      </c>
      <c r="K36" s="37">
        <v>5</v>
      </c>
      <c r="L36" s="37"/>
      <c r="M36" s="37"/>
      <c r="N36" s="37"/>
      <c r="O36" s="37"/>
    </row>
    <row r="37" spans="1:15" x14ac:dyDescent="0.25">
      <c r="A37" s="37">
        <v>1</v>
      </c>
      <c r="B37" s="37">
        <v>3</v>
      </c>
      <c r="C37" s="37">
        <v>3</v>
      </c>
      <c r="D37" s="37">
        <v>4</v>
      </c>
      <c r="E37" s="37">
        <v>1</v>
      </c>
      <c r="F37" s="37">
        <v>7</v>
      </c>
      <c r="G37" s="37">
        <v>7</v>
      </c>
      <c r="H37" s="37">
        <v>8</v>
      </c>
      <c r="I37" s="37">
        <v>8</v>
      </c>
      <c r="J37" s="37">
        <v>4</v>
      </c>
      <c r="K37" s="37">
        <v>5</v>
      </c>
      <c r="L37" s="37"/>
      <c r="M37" s="37"/>
      <c r="N37" s="37"/>
      <c r="O37" s="37"/>
    </row>
    <row r="38" spans="1:15" x14ac:dyDescent="0.25">
      <c r="A38" s="37">
        <v>9</v>
      </c>
      <c r="B38" s="37">
        <v>2</v>
      </c>
      <c r="C38" s="37">
        <v>5</v>
      </c>
      <c r="D38" s="37">
        <v>2</v>
      </c>
      <c r="E38" s="37">
        <v>5</v>
      </c>
      <c r="F38" s="37">
        <v>10</v>
      </c>
      <c r="G38" s="37">
        <v>7</v>
      </c>
      <c r="H38" s="37">
        <v>7</v>
      </c>
      <c r="I38" s="37">
        <v>9</v>
      </c>
      <c r="J38" s="37">
        <v>10</v>
      </c>
      <c r="K38" s="37">
        <v>5</v>
      </c>
      <c r="L38" s="37"/>
      <c r="M38" s="37"/>
      <c r="N38" s="37"/>
      <c r="O38" s="37"/>
    </row>
    <row r="39" spans="1:15" x14ac:dyDescent="0.25">
      <c r="A39" s="37">
        <v>0</v>
      </c>
      <c r="B39" s="37">
        <v>0</v>
      </c>
      <c r="C39" s="37">
        <v>0</v>
      </c>
      <c r="D39" s="37">
        <v>0</v>
      </c>
      <c r="E39" s="37">
        <v>0</v>
      </c>
      <c r="F39" s="37">
        <v>0</v>
      </c>
      <c r="G39" s="37">
        <v>0</v>
      </c>
      <c r="H39" s="37">
        <v>0</v>
      </c>
      <c r="I39" s="37">
        <v>0</v>
      </c>
      <c r="J39" s="37">
        <v>0</v>
      </c>
      <c r="K39" s="37">
        <v>1</v>
      </c>
      <c r="L39" s="37"/>
      <c r="M39" s="37"/>
      <c r="N39" s="37"/>
      <c r="O39" s="37"/>
    </row>
    <row r="40" spans="1:15" x14ac:dyDescent="0.25">
      <c r="A40" s="37">
        <v>1</v>
      </c>
      <c r="B40" s="37">
        <v>8</v>
      </c>
      <c r="C40" s="37">
        <v>3</v>
      </c>
      <c r="D40" s="37">
        <v>4</v>
      </c>
      <c r="E40" s="37">
        <v>6</v>
      </c>
      <c r="F40" s="37">
        <v>6</v>
      </c>
      <c r="G40" s="37">
        <v>4</v>
      </c>
      <c r="H40" s="37">
        <v>8</v>
      </c>
      <c r="I40" s="37">
        <v>3</v>
      </c>
      <c r="J40" s="37">
        <v>1</v>
      </c>
      <c r="K40" s="37">
        <v>5</v>
      </c>
      <c r="L40" s="37"/>
      <c r="M40" s="37"/>
      <c r="N40" s="37"/>
      <c r="O40" s="37"/>
    </row>
    <row r="41" spans="1:15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</row>
    <row r="42" spans="1:15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</row>
    <row r="43" spans="1:15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</row>
    <row r="44" spans="1:15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</row>
    <row r="45" spans="1:15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</row>
    <row r="46" spans="1:15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</row>
    <row r="47" spans="1:15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</row>
    <row r="48" spans="1:15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</row>
    <row r="49" spans="1:15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</row>
    <row r="50" spans="1:15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</row>
    <row r="51" spans="1:15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</row>
    <row r="52" spans="1:15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</row>
    <row r="53" spans="1:15" x14ac:dyDescent="0.25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</row>
    <row r="54" spans="1:15" x14ac:dyDescent="0.25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N237"/>
  <sheetViews>
    <sheetView tabSelected="1" zoomScale="80" zoomScaleNormal="80" zoomScalePageLayoutView="80" workbookViewId="0">
      <pane ySplit="2" topLeftCell="A3" activePane="bottomLeft" state="frozen"/>
      <selection pane="bottomLeft" activeCell="N33" sqref="N33"/>
    </sheetView>
  </sheetViews>
  <sheetFormatPr defaultColWidth="8.85546875" defaultRowHeight="15" x14ac:dyDescent="0.25"/>
  <cols>
    <col min="5" max="7" width="8.85546875" customWidth="1"/>
    <col min="14" max="14" width="21.7109375" bestFit="1" customWidth="1"/>
    <col min="15" max="15" width="8.140625" bestFit="1" customWidth="1"/>
    <col min="16" max="19" width="7" bestFit="1" customWidth="1"/>
    <col min="20" max="20" width="6" customWidth="1"/>
    <col min="21" max="21" width="7.42578125" bestFit="1" customWidth="1"/>
    <col min="22" max="22" width="6" bestFit="1" customWidth="1"/>
    <col min="23" max="23" width="8.140625" customWidth="1"/>
    <col min="24" max="26" width="6" bestFit="1" customWidth="1"/>
    <col min="27" max="27" width="8.140625" bestFit="1" customWidth="1"/>
  </cols>
  <sheetData>
    <row r="1" spans="1:35" x14ac:dyDescent="0.25">
      <c r="B1" s="20" t="s">
        <v>36</v>
      </c>
      <c r="C1" s="20" t="s">
        <v>37</v>
      </c>
      <c r="D1" s="20" t="s">
        <v>38</v>
      </c>
      <c r="E1" s="20" t="s">
        <v>39</v>
      </c>
      <c r="F1" s="20" t="s">
        <v>40</v>
      </c>
      <c r="G1" s="20" t="s">
        <v>41</v>
      </c>
      <c r="H1" s="20" t="s">
        <v>42</v>
      </c>
      <c r="I1" s="20" t="s">
        <v>43</v>
      </c>
      <c r="J1" s="20" t="s">
        <v>44</v>
      </c>
      <c r="K1" s="20" t="s">
        <v>45</v>
      </c>
      <c r="S1" s="1" t="s">
        <v>0</v>
      </c>
      <c r="T1" s="1"/>
      <c r="U1" s="2"/>
    </row>
    <row r="2" spans="1:35" x14ac:dyDescent="0.25"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M2" s="4"/>
      <c r="N2" s="16" t="s">
        <v>23</v>
      </c>
      <c r="O2" s="16" t="s">
        <v>19</v>
      </c>
      <c r="P2" s="16" t="s">
        <v>14</v>
      </c>
      <c r="Q2" s="16" t="s">
        <v>20</v>
      </c>
      <c r="R2" s="16" t="s">
        <v>18</v>
      </c>
      <c r="S2" s="16" t="s">
        <v>15</v>
      </c>
      <c r="T2" s="16" t="s">
        <v>21</v>
      </c>
      <c r="U2" s="16" t="s">
        <v>16</v>
      </c>
      <c r="V2" s="16" t="s">
        <v>17</v>
      </c>
      <c r="W2" s="16" t="s">
        <v>25</v>
      </c>
      <c r="X2" s="47"/>
      <c r="Y2" s="47"/>
      <c r="Z2" s="47"/>
      <c r="AA2" s="47"/>
      <c r="AB2" s="19"/>
    </row>
    <row r="3" spans="1:35" x14ac:dyDescent="0.25">
      <c r="B3" s="36">
        <v>1</v>
      </c>
      <c r="C3" s="36">
        <v>2</v>
      </c>
      <c r="D3" s="36">
        <v>3</v>
      </c>
      <c r="E3" s="36">
        <v>4</v>
      </c>
      <c r="F3" s="36">
        <v>5</v>
      </c>
      <c r="G3" s="36">
        <v>6</v>
      </c>
      <c r="H3" s="36">
        <v>7</v>
      </c>
      <c r="I3" s="36">
        <v>8</v>
      </c>
      <c r="J3" s="36">
        <v>9</v>
      </c>
      <c r="K3" s="36">
        <v>10</v>
      </c>
      <c r="M3" s="7">
        <v>1</v>
      </c>
      <c r="N3" s="35">
        <v>0</v>
      </c>
      <c r="O3" s="35">
        <v>252</v>
      </c>
      <c r="P3" s="35">
        <v>323</v>
      </c>
      <c r="Q3" s="35">
        <v>226</v>
      </c>
      <c r="R3" s="35">
        <v>315</v>
      </c>
      <c r="S3" s="35">
        <v>295</v>
      </c>
      <c r="T3" s="35">
        <v>418</v>
      </c>
      <c r="U3" s="35">
        <v>388</v>
      </c>
      <c r="V3" s="35">
        <v>445</v>
      </c>
      <c r="W3" s="35">
        <v>713</v>
      </c>
      <c r="X3" s="46"/>
      <c r="Y3" s="46"/>
      <c r="Z3" s="46"/>
      <c r="AA3" s="46"/>
      <c r="AB3" s="74"/>
      <c r="AC3" s="15"/>
    </row>
    <row r="4" spans="1:35" x14ac:dyDescent="0.25">
      <c r="A4" s="9">
        <v>43559</v>
      </c>
      <c r="B4" s="38" t="s">
        <v>25</v>
      </c>
      <c r="C4" s="39">
        <v>5</v>
      </c>
      <c r="D4" s="38" t="s">
        <v>15</v>
      </c>
      <c r="E4" s="39">
        <v>9</v>
      </c>
      <c r="F4" s="38" t="s">
        <v>19</v>
      </c>
      <c r="G4" s="39">
        <v>3</v>
      </c>
      <c r="H4" s="38" t="s">
        <v>16</v>
      </c>
      <c r="I4" s="39">
        <v>7</v>
      </c>
      <c r="J4" s="38" t="s">
        <v>20</v>
      </c>
      <c r="K4" s="39">
        <v>1</v>
      </c>
      <c r="L4" s="57" t="s">
        <v>7</v>
      </c>
      <c r="M4" s="10">
        <v>2</v>
      </c>
      <c r="N4" s="48">
        <v>252</v>
      </c>
      <c r="O4" s="48">
        <v>0</v>
      </c>
      <c r="P4" s="35">
        <v>132</v>
      </c>
      <c r="Q4" s="35">
        <v>150</v>
      </c>
      <c r="R4" s="35">
        <v>233</v>
      </c>
      <c r="S4" s="35">
        <v>380</v>
      </c>
      <c r="T4" s="35">
        <v>458</v>
      </c>
      <c r="U4" s="35">
        <v>403</v>
      </c>
      <c r="V4" s="35">
        <v>397</v>
      </c>
      <c r="W4" s="35">
        <v>464</v>
      </c>
      <c r="X4" s="35"/>
      <c r="Y4" s="35"/>
      <c r="Z4" s="35"/>
      <c r="AA4" s="46"/>
      <c r="AB4" s="71"/>
    </row>
    <row r="5" spans="1:35" x14ac:dyDescent="0.25">
      <c r="A5" s="9">
        <v>43560</v>
      </c>
      <c r="B5" s="38" t="s">
        <v>25</v>
      </c>
      <c r="C5" s="39">
        <v>5</v>
      </c>
      <c r="D5" s="38" t="s">
        <v>15</v>
      </c>
      <c r="E5" s="39">
        <v>9</v>
      </c>
      <c r="F5" s="38" t="s">
        <v>19</v>
      </c>
      <c r="G5" s="39">
        <v>3</v>
      </c>
      <c r="H5" s="38" t="s">
        <v>16</v>
      </c>
      <c r="I5" s="39">
        <v>7</v>
      </c>
      <c r="J5" s="38" t="s">
        <v>20</v>
      </c>
      <c r="K5" s="39">
        <v>1</v>
      </c>
      <c r="L5" s="57" t="s">
        <v>1</v>
      </c>
      <c r="M5" s="10">
        <v>3</v>
      </c>
      <c r="N5" s="48">
        <v>323</v>
      </c>
      <c r="O5" s="48">
        <v>132</v>
      </c>
      <c r="P5" s="35">
        <v>0</v>
      </c>
      <c r="Q5" s="35">
        <v>279</v>
      </c>
      <c r="R5" s="35">
        <v>361</v>
      </c>
      <c r="S5" s="35">
        <v>509</v>
      </c>
      <c r="T5" s="35">
        <v>587</v>
      </c>
      <c r="U5" s="35">
        <v>532</v>
      </c>
      <c r="V5" s="35">
        <v>525</v>
      </c>
      <c r="W5" s="35">
        <v>529</v>
      </c>
      <c r="X5" s="35"/>
      <c r="Y5" s="35"/>
      <c r="Z5" s="35"/>
      <c r="AA5" s="46"/>
      <c r="AB5" s="71"/>
      <c r="AE5" s="13"/>
      <c r="AF5" s="49"/>
      <c r="AG5" s="13"/>
      <c r="AH5" s="13"/>
      <c r="AI5" s="13"/>
    </row>
    <row r="6" spans="1:35" x14ac:dyDescent="0.25">
      <c r="A6" s="9">
        <v>43561</v>
      </c>
      <c r="B6" s="38" t="s">
        <v>25</v>
      </c>
      <c r="C6" s="39">
        <v>5</v>
      </c>
      <c r="D6" s="38" t="s">
        <v>15</v>
      </c>
      <c r="E6" s="39">
        <v>9</v>
      </c>
      <c r="F6" s="38" t="s">
        <v>19</v>
      </c>
      <c r="G6" s="39">
        <v>3</v>
      </c>
      <c r="H6" s="38" t="s">
        <v>16</v>
      </c>
      <c r="I6" s="39">
        <v>7</v>
      </c>
      <c r="J6" s="38" t="s">
        <v>20</v>
      </c>
      <c r="K6" s="39">
        <v>1</v>
      </c>
      <c r="L6" s="57" t="s">
        <v>2</v>
      </c>
      <c r="M6" s="10">
        <v>4</v>
      </c>
      <c r="N6" s="48">
        <v>226</v>
      </c>
      <c r="O6" s="48">
        <v>150</v>
      </c>
      <c r="P6" s="35">
        <v>279</v>
      </c>
      <c r="Q6" s="35">
        <v>0</v>
      </c>
      <c r="R6" s="35">
        <v>89</v>
      </c>
      <c r="S6" s="35">
        <v>233</v>
      </c>
      <c r="T6" s="35">
        <v>315</v>
      </c>
      <c r="U6" s="35">
        <v>259</v>
      </c>
      <c r="V6" s="35">
        <v>253</v>
      </c>
      <c r="W6" s="35">
        <v>433</v>
      </c>
      <c r="X6" s="35"/>
      <c r="Y6" s="35"/>
      <c r="Z6" s="46"/>
      <c r="AA6" s="46"/>
      <c r="AB6" s="71"/>
      <c r="AE6" s="13"/>
      <c r="AF6" s="13"/>
      <c r="AG6" s="13"/>
      <c r="AH6" s="13"/>
      <c r="AI6" s="13"/>
    </row>
    <row r="7" spans="1:35" x14ac:dyDescent="0.25">
      <c r="A7" s="9">
        <v>43562</v>
      </c>
      <c r="B7" s="38" t="s">
        <v>25</v>
      </c>
      <c r="C7" s="39">
        <v>5</v>
      </c>
      <c r="D7" s="38" t="s">
        <v>15</v>
      </c>
      <c r="E7" s="39">
        <v>9</v>
      </c>
      <c r="F7" s="38" t="s">
        <v>19</v>
      </c>
      <c r="G7" s="39">
        <v>3</v>
      </c>
      <c r="H7" s="38" t="s">
        <v>16</v>
      </c>
      <c r="I7" s="39">
        <v>7</v>
      </c>
      <c r="J7" s="38" t="s">
        <v>20</v>
      </c>
      <c r="K7" s="39">
        <v>1</v>
      </c>
      <c r="L7" s="57" t="s">
        <v>3</v>
      </c>
      <c r="M7" s="10">
        <v>5</v>
      </c>
      <c r="N7" s="48">
        <v>315</v>
      </c>
      <c r="O7" s="48">
        <v>233</v>
      </c>
      <c r="P7" s="35">
        <v>361</v>
      </c>
      <c r="Q7" s="35">
        <v>89</v>
      </c>
      <c r="R7" s="35">
        <v>0</v>
      </c>
      <c r="S7" s="35">
        <v>244</v>
      </c>
      <c r="T7" s="35">
        <v>227</v>
      </c>
      <c r="U7" s="35">
        <v>172</v>
      </c>
      <c r="V7" s="35">
        <v>160</v>
      </c>
      <c r="W7" s="35">
        <v>370</v>
      </c>
      <c r="X7" s="35"/>
      <c r="Y7" s="35"/>
      <c r="Z7" s="35"/>
      <c r="AA7" s="46"/>
      <c r="AB7" s="71"/>
      <c r="AE7" s="13"/>
      <c r="AF7" s="13"/>
      <c r="AG7" s="13"/>
      <c r="AH7" s="13"/>
      <c r="AI7" s="13"/>
    </row>
    <row r="8" spans="1:35" x14ac:dyDescent="0.25">
      <c r="A8" s="9">
        <v>43563</v>
      </c>
      <c r="B8" s="38" t="s">
        <v>25</v>
      </c>
      <c r="C8" s="39">
        <v>5</v>
      </c>
      <c r="D8" s="38" t="s">
        <v>15</v>
      </c>
      <c r="E8" s="39">
        <v>9</v>
      </c>
      <c r="F8" s="38" t="s">
        <v>19</v>
      </c>
      <c r="G8" s="39">
        <v>3</v>
      </c>
      <c r="H8" s="38" t="s">
        <v>16</v>
      </c>
      <c r="I8" s="39">
        <v>7</v>
      </c>
      <c r="J8" s="38" t="s">
        <v>20</v>
      </c>
      <c r="K8" s="39">
        <v>1</v>
      </c>
      <c r="L8" s="57" t="s">
        <v>4</v>
      </c>
      <c r="M8" s="10">
        <v>6</v>
      </c>
      <c r="N8" s="48">
        <v>295</v>
      </c>
      <c r="O8" s="48">
        <v>380</v>
      </c>
      <c r="P8" s="35">
        <v>509</v>
      </c>
      <c r="Q8" s="35">
        <v>233</v>
      </c>
      <c r="R8" s="35">
        <v>244</v>
      </c>
      <c r="S8" s="35">
        <v>0</v>
      </c>
      <c r="T8" s="35">
        <v>160</v>
      </c>
      <c r="U8" s="35">
        <v>184</v>
      </c>
      <c r="V8" s="35">
        <v>245</v>
      </c>
      <c r="W8" s="35">
        <v>591</v>
      </c>
      <c r="X8" s="35"/>
      <c r="Y8" s="35"/>
      <c r="Z8" s="35"/>
      <c r="AA8" s="46"/>
      <c r="AB8" s="71"/>
      <c r="AE8" s="13"/>
      <c r="AF8" s="13"/>
      <c r="AG8" s="13"/>
      <c r="AH8" s="13"/>
      <c r="AI8" s="13"/>
    </row>
    <row r="9" spans="1:35" x14ac:dyDescent="0.25">
      <c r="A9" s="9">
        <v>43564</v>
      </c>
      <c r="B9" s="40" t="s">
        <v>27</v>
      </c>
      <c r="C9" s="40" t="s">
        <v>27</v>
      </c>
      <c r="D9" s="40" t="s">
        <v>27</v>
      </c>
      <c r="E9" s="40" t="s">
        <v>27</v>
      </c>
      <c r="F9" s="40" t="s">
        <v>27</v>
      </c>
      <c r="G9" s="40" t="s">
        <v>27</v>
      </c>
      <c r="H9" s="40" t="s">
        <v>27</v>
      </c>
      <c r="I9" s="40" t="s">
        <v>27</v>
      </c>
      <c r="J9" s="40" t="s">
        <v>27</v>
      </c>
      <c r="K9" s="40" t="s">
        <v>27</v>
      </c>
      <c r="L9" s="57" t="s">
        <v>5</v>
      </c>
      <c r="M9" s="10">
        <v>7</v>
      </c>
      <c r="N9" s="48">
        <v>418</v>
      </c>
      <c r="O9" s="48">
        <v>458</v>
      </c>
      <c r="P9" s="35">
        <v>587</v>
      </c>
      <c r="Q9" s="35">
        <v>315</v>
      </c>
      <c r="R9" s="35">
        <v>227</v>
      </c>
      <c r="S9" s="35">
        <v>160</v>
      </c>
      <c r="T9" s="35">
        <v>0</v>
      </c>
      <c r="U9" s="35">
        <v>57</v>
      </c>
      <c r="V9" s="35">
        <v>120</v>
      </c>
      <c r="W9" s="35">
        <v>465</v>
      </c>
      <c r="X9" s="35"/>
      <c r="Y9" s="35"/>
      <c r="Z9" s="35"/>
      <c r="AA9" s="46"/>
      <c r="AB9" s="71"/>
      <c r="AE9" s="13"/>
      <c r="AF9" s="13"/>
      <c r="AG9" s="13"/>
      <c r="AH9" s="13"/>
      <c r="AI9" s="13"/>
    </row>
    <row r="10" spans="1:35" x14ac:dyDescent="0.25">
      <c r="A10" s="9">
        <v>43565</v>
      </c>
      <c r="B10" s="39">
        <v>4</v>
      </c>
      <c r="C10" s="38" t="s">
        <v>21</v>
      </c>
      <c r="D10" s="39">
        <v>8</v>
      </c>
      <c r="E10" s="38" t="s">
        <v>23</v>
      </c>
      <c r="F10" s="39">
        <v>10</v>
      </c>
      <c r="G10" s="38" t="s">
        <v>17</v>
      </c>
      <c r="H10" s="39">
        <v>2</v>
      </c>
      <c r="I10" s="38" t="s">
        <v>14</v>
      </c>
      <c r="J10" s="39">
        <v>6</v>
      </c>
      <c r="K10" s="38" t="s">
        <v>18</v>
      </c>
      <c r="L10" s="57" t="s">
        <v>6</v>
      </c>
      <c r="M10" s="10">
        <v>8</v>
      </c>
      <c r="N10" s="48">
        <v>388</v>
      </c>
      <c r="O10" s="48">
        <v>403</v>
      </c>
      <c r="P10" s="35">
        <v>532</v>
      </c>
      <c r="Q10" s="35">
        <v>259</v>
      </c>
      <c r="R10" s="35">
        <v>172</v>
      </c>
      <c r="S10" s="35">
        <v>184</v>
      </c>
      <c r="T10" s="35">
        <v>57</v>
      </c>
      <c r="U10" s="35">
        <v>0</v>
      </c>
      <c r="V10" s="35">
        <v>66</v>
      </c>
      <c r="W10" s="35">
        <v>411</v>
      </c>
      <c r="X10" s="35"/>
      <c r="Y10" s="35"/>
      <c r="Z10" s="35"/>
      <c r="AA10" s="46"/>
      <c r="AB10" s="71"/>
      <c r="AE10" s="13"/>
      <c r="AF10" s="13"/>
      <c r="AG10" s="13"/>
      <c r="AH10" s="13"/>
      <c r="AI10" s="13"/>
    </row>
    <row r="11" spans="1:35" x14ac:dyDescent="0.25">
      <c r="A11" s="9">
        <v>43566</v>
      </c>
      <c r="B11" s="39">
        <v>4</v>
      </c>
      <c r="C11" s="38" t="s">
        <v>21</v>
      </c>
      <c r="D11" s="39">
        <v>8</v>
      </c>
      <c r="E11" s="38" t="s">
        <v>23</v>
      </c>
      <c r="F11" s="39">
        <v>10</v>
      </c>
      <c r="G11" s="38" t="s">
        <v>17</v>
      </c>
      <c r="H11" s="39">
        <v>2</v>
      </c>
      <c r="I11" s="38" t="s">
        <v>14</v>
      </c>
      <c r="J11" s="39">
        <v>6</v>
      </c>
      <c r="K11" s="38" t="s">
        <v>18</v>
      </c>
      <c r="L11" s="57" t="s">
        <v>7</v>
      </c>
      <c r="M11" s="10">
        <v>9</v>
      </c>
      <c r="N11" s="48">
        <v>445</v>
      </c>
      <c r="O11" s="48">
        <v>397</v>
      </c>
      <c r="P11" s="35">
        <v>525</v>
      </c>
      <c r="Q11" s="35">
        <v>253</v>
      </c>
      <c r="R11" s="35">
        <v>160</v>
      </c>
      <c r="S11" s="35">
        <v>245</v>
      </c>
      <c r="T11" s="35">
        <v>120</v>
      </c>
      <c r="U11" s="35">
        <v>66</v>
      </c>
      <c r="V11" s="35">
        <v>0</v>
      </c>
      <c r="W11" s="35">
        <v>360</v>
      </c>
      <c r="X11" s="35"/>
      <c r="Y11" s="35"/>
      <c r="Z11" s="35"/>
      <c r="AA11" s="46"/>
      <c r="AB11" s="71"/>
      <c r="AE11" s="13"/>
      <c r="AF11" s="13"/>
      <c r="AG11" s="13"/>
      <c r="AH11" s="13"/>
      <c r="AI11" s="13"/>
    </row>
    <row r="12" spans="1:35" x14ac:dyDescent="0.25">
      <c r="A12" s="9">
        <v>43567</v>
      </c>
      <c r="B12" s="39">
        <v>4</v>
      </c>
      <c r="C12" s="38" t="s">
        <v>21</v>
      </c>
      <c r="D12" s="39">
        <v>8</v>
      </c>
      <c r="E12" s="38" t="s">
        <v>23</v>
      </c>
      <c r="F12" s="39">
        <v>10</v>
      </c>
      <c r="G12" s="38" t="s">
        <v>17</v>
      </c>
      <c r="H12" s="39">
        <v>2</v>
      </c>
      <c r="I12" s="38" t="s">
        <v>14</v>
      </c>
      <c r="J12" s="39">
        <v>6</v>
      </c>
      <c r="K12" s="38" t="s">
        <v>18</v>
      </c>
      <c r="L12" s="57" t="s">
        <v>1</v>
      </c>
      <c r="M12" s="10">
        <v>10</v>
      </c>
      <c r="N12" s="48">
        <v>713</v>
      </c>
      <c r="O12" s="48">
        <v>464</v>
      </c>
      <c r="P12" s="35">
        <v>529</v>
      </c>
      <c r="Q12" s="35">
        <v>433</v>
      </c>
      <c r="R12" s="35">
        <v>370</v>
      </c>
      <c r="S12" s="35">
        <v>591</v>
      </c>
      <c r="T12" s="35">
        <v>465</v>
      </c>
      <c r="U12" s="35">
        <v>411</v>
      </c>
      <c r="V12" s="35">
        <v>360</v>
      </c>
      <c r="W12" s="35">
        <v>0</v>
      </c>
      <c r="X12" s="35"/>
      <c r="Y12" s="35"/>
      <c r="Z12" s="35"/>
      <c r="AA12" s="46"/>
      <c r="AB12" s="71"/>
      <c r="AE12" s="13"/>
      <c r="AF12" s="13"/>
      <c r="AG12" s="13"/>
      <c r="AH12" s="13"/>
      <c r="AI12" s="13"/>
    </row>
    <row r="13" spans="1:35" x14ac:dyDescent="0.25">
      <c r="A13" s="9">
        <v>43568</v>
      </c>
      <c r="B13" s="39">
        <v>4</v>
      </c>
      <c r="C13" s="38" t="s">
        <v>21</v>
      </c>
      <c r="D13" s="39">
        <v>8</v>
      </c>
      <c r="E13" s="38" t="s">
        <v>23</v>
      </c>
      <c r="F13" s="39">
        <v>10</v>
      </c>
      <c r="G13" s="38" t="s">
        <v>17</v>
      </c>
      <c r="H13" s="39">
        <v>2</v>
      </c>
      <c r="I13" s="38" t="s">
        <v>14</v>
      </c>
      <c r="J13" s="39">
        <v>6</v>
      </c>
      <c r="K13" s="38" t="s">
        <v>18</v>
      </c>
      <c r="L13" s="57" t="s">
        <v>2</v>
      </c>
      <c r="M13" s="50"/>
      <c r="N13" s="48"/>
      <c r="O13" s="48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46"/>
      <c r="AB13" s="71"/>
      <c r="AE13" s="13"/>
      <c r="AF13" s="13"/>
      <c r="AG13" s="13"/>
      <c r="AH13" s="13"/>
      <c r="AI13" s="13"/>
    </row>
    <row r="14" spans="1:35" x14ac:dyDescent="0.25">
      <c r="A14" s="9">
        <v>43569</v>
      </c>
      <c r="B14" s="39">
        <v>4</v>
      </c>
      <c r="C14" s="38" t="s">
        <v>21</v>
      </c>
      <c r="D14" s="39">
        <v>8</v>
      </c>
      <c r="E14" s="38" t="s">
        <v>23</v>
      </c>
      <c r="F14" s="39">
        <v>10</v>
      </c>
      <c r="G14" s="38" t="s">
        <v>17</v>
      </c>
      <c r="H14" s="39">
        <v>2</v>
      </c>
      <c r="I14" s="38" t="s">
        <v>14</v>
      </c>
      <c r="J14" s="39">
        <v>6</v>
      </c>
      <c r="K14" s="38" t="s">
        <v>18</v>
      </c>
      <c r="L14" s="57" t="s">
        <v>3</v>
      </c>
      <c r="M14" s="50"/>
      <c r="N14" s="48"/>
      <c r="O14" s="48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46"/>
      <c r="AB14" s="71"/>
      <c r="AE14" s="13"/>
      <c r="AF14" s="13"/>
      <c r="AG14" s="13"/>
      <c r="AH14" s="13"/>
      <c r="AI14" s="13"/>
    </row>
    <row r="15" spans="1:35" x14ac:dyDescent="0.25">
      <c r="A15" s="9">
        <v>43570</v>
      </c>
      <c r="B15" s="38" t="s">
        <v>18</v>
      </c>
      <c r="C15" s="39">
        <v>8</v>
      </c>
      <c r="D15" s="38" t="s">
        <v>20</v>
      </c>
      <c r="E15" s="39">
        <v>3</v>
      </c>
      <c r="F15" s="39">
        <v>1</v>
      </c>
      <c r="G15" s="39">
        <v>7</v>
      </c>
      <c r="H15" s="38" t="s">
        <v>15</v>
      </c>
      <c r="I15" s="38" t="s">
        <v>19</v>
      </c>
      <c r="J15" s="38" t="s">
        <v>25</v>
      </c>
      <c r="K15" s="39">
        <v>9</v>
      </c>
      <c r="L15" s="57" t="s">
        <v>4</v>
      </c>
      <c r="M15" s="50"/>
      <c r="N15" s="48">
        <v>8915</v>
      </c>
      <c r="O15" s="48">
        <v>7834</v>
      </c>
      <c r="P15" s="35">
        <v>9442</v>
      </c>
      <c r="Q15" s="35">
        <v>6280</v>
      </c>
      <c r="R15" s="35">
        <v>6797</v>
      </c>
      <c r="S15" s="35">
        <v>7763</v>
      </c>
      <c r="T15" s="35">
        <v>7427</v>
      </c>
      <c r="U15" s="35">
        <v>6282</v>
      </c>
      <c r="V15" s="35">
        <v>6841</v>
      </c>
      <c r="W15" s="35">
        <v>11613</v>
      </c>
      <c r="X15" s="35"/>
      <c r="Y15" s="35"/>
      <c r="Z15" s="35"/>
      <c r="AA15" s="46"/>
      <c r="AB15" s="71"/>
      <c r="AE15" s="13"/>
      <c r="AF15" s="13"/>
      <c r="AG15" s="13"/>
      <c r="AH15" s="13"/>
      <c r="AI15" s="13"/>
    </row>
    <row r="16" spans="1:35" x14ac:dyDescent="0.25">
      <c r="A16" s="9">
        <v>43571</v>
      </c>
      <c r="B16" s="38" t="s">
        <v>18</v>
      </c>
      <c r="C16" s="39">
        <v>8</v>
      </c>
      <c r="D16" s="38" t="s">
        <v>20</v>
      </c>
      <c r="E16" s="39">
        <v>3</v>
      </c>
      <c r="F16" s="39">
        <v>1</v>
      </c>
      <c r="G16" s="39">
        <v>7</v>
      </c>
      <c r="H16" s="38" t="s">
        <v>15</v>
      </c>
      <c r="I16" s="38" t="s">
        <v>19</v>
      </c>
      <c r="J16" s="38" t="s">
        <v>25</v>
      </c>
      <c r="K16" s="39">
        <v>9</v>
      </c>
      <c r="L16" s="57" t="s">
        <v>5</v>
      </c>
      <c r="M16" s="50"/>
      <c r="N16" s="48"/>
      <c r="O16" s="48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46"/>
      <c r="AB16" s="71"/>
      <c r="AE16" s="13"/>
      <c r="AF16" s="13"/>
      <c r="AG16" s="13"/>
      <c r="AH16" s="13"/>
      <c r="AI16" s="13"/>
    </row>
    <row r="17" spans="1:40" x14ac:dyDescent="0.25">
      <c r="A17" s="9">
        <v>43572</v>
      </c>
      <c r="B17" s="38" t="s">
        <v>18</v>
      </c>
      <c r="C17" s="39">
        <v>8</v>
      </c>
      <c r="D17" s="38" t="s">
        <v>20</v>
      </c>
      <c r="E17" s="39">
        <v>3</v>
      </c>
      <c r="F17" s="39">
        <v>1</v>
      </c>
      <c r="G17" s="39">
        <v>7</v>
      </c>
      <c r="H17" s="38" t="s">
        <v>15</v>
      </c>
      <c r="I17" s="38" t="s">
        <v>19</v>
      </c>
      <c r="J17" s="38" t="s">
        <v>25</v>
      </c>
      <c r="K17" s="39">
        <v>9</v>
      </c>
      <c r="L17" s="57" t="s">
        <v>6</v>
      </c>
      <c r="M17" s="57"/>
      <c r="N17" s="48"/>
      <c r="O17" s="48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71"/>
      <c r="AE17" s="13"/>
      <c r="AF17" s="13"/>
      <c r="AG17" s="13"/>
      <c r="AH17" s="13"/>
      <c r="AI17" s="13"/>
    </row>
    <row r="18" spans="1:40" x14ac:dyDescent="0.25">
      <c r="A18" s="9">
        <v>43573</v>
      </c>
      <c r="B18" s="38" t="s">
        <v>18</v>
      </c>
      <c r="C18" s="39">
        <v>8</v>
      </c>
      <c r="D18" s="38" t="s">
        <v>20</v>
      </c>
      <c r="E18" s="39">
        <v>3</v>
      </c>
      <c r="F18" s="39">
        <v>1</v>
      </c>
      <c r="G18" s="39">
        <v>7</v>
      </c>
      <c r="H18" s="38" t="s">
        <v>15</v>
      </c>
      <c r="I18" s="38" t="s">
        <v>19</v>
      </c>
      <c r="J18" s="38" t="s">
        <v>25</v>
      </c>
      <c r="K18" s="39">
        <v>9</v>
      </c>
      <c r="L18" s="57" t="s">
        <v>7</v>
      </c>
      <c r="M18" s="57"/>
      <c r="N18" s="57"/>
      <c r="O18" s="5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71"/>
      <c r="AE18" s="13"/>
      <c r="AF18" s="13"/>
      <c r="AG18" s="13"/>
      <c r="AH18" s="13"/>
      <c r="AI18" s="13"/>
    </row>
    <row r="19" spans="1:40" x14ac:dyDescent="0.25">
      <c r="A19" s="9">
        <v>43574</v>
      </c>
      <c r="B19" s="38" t="s">
        <v>18</v>
      </c>
      <c r="C19" s="39">
        <v>8</v>
      </c>
      <c r="D19" s="38" t="s">
        <v>20</v>
      </c>
      <c r="E19" s="39">
        <v>3</v>
      </c>
      <c r="F19" s="39">
        <v>1</v>
      </c>
      <c r="G19" s="39">
        <v>7</v>
      </c>
      <c r="H19" s="38" t="s">
        <v>15</v>
      </c>
      <c r="I19" s="38" t="s">
        <v>19</v>
      </c>
      <c r="J19" s="38" t="s">
        <v>25</v>
      </c>
      <c r="K19" s="39">
        <v>9</v>
      </c>
      <c r="L19" s="57" t="s">
        <v>1</v>
      </c>
      <c r="M19" s="57"/>
      <c r="N19" s="57"/>
      <c r="O19" s="57"/>
      <c r="AB19" s="71"/>
      <c r="AE19" s="13"/>
      <c r="AF19" s="13"/>
      <c r="AG19" s="13"/>
      <c r="AH19" s="13"/>
      <c r="AI19" s="13"/>
    </row>
    <row r="20" spans="1:40" x14ac:dyDescent="0.25">
      <c r="A20" s="9">
        <v>43575</v>
      </c>
      <c r="B20" s="39">
        <v>2</v>
      </c>
      <c r="C20" s="38" t="s">
        <v>23</v>
      </c>
      <c r="D20" s="39">
        <v>5</v>
      </c>
      <c r="E20" s="39">
        <v>6</v>
      </c>
      <c r="F20" s="38" t="s">
        <v>14</v>
      </c>
      <c r="G20" s="38" t="s">
        <v>20</v>
      </c>
      <c r="H20" s="39">
        <v>10</v>
      </c>
      <c r="I20" s="39">
        <v>9</v>
      </c>
      <c r="J20" s="38" t="s">
        <v>16</v>
      </c>
      <c r="K20" s="38" t="s">
        <v>21</v>
      </c>
      <c r="L20" s="57" t="s">
        <v>2</v>
      </c>
      <c r="M20" s="57"/>
      <c r="N20" s="57"/>
      <c r="O20" s="57"/>
      <c r="AB20" s="71"/>
      <c r="AE20" s="13"/>
      <c r="AF20" s="13"/>
      <c r="AG20" s="13"/>
      <c r="AH20" s="13"/>
      <c r="AI20" s="13"/>
    </row>
    <row r="21" spans="1:40" x14ac:dyDescent="0.25">
      <c r="A21" s="9">
        <v>43576</v>
      </c>
      <c r="B21" s="39">
        <v>2</v>
      </c>
      <c r="C21" s="38" t="s">
        <v>23</v>
      </c>
      <c r="D21" s="39">
        <v>5</v>
      </c>
      <c r="E21" s="39">
        <v>6</v>
      </c>
      <c r="F21" s="38" t="s">
        <v>14</v>
      </c>
      <c r="G21" s="38" t="s">
        <v>20</v>
      </c>
      <c r="H21" s="39">
        <v>10</v>
      </c>
      <c r="I21" s="39">
        <v>9</v>
      </c>
      <c r="J21" s="38" t="s">
        <v>16</v>
      </c>
      <c r="K21" s="38" t="s">
        <v>21</v>
      </c>
      <c r="L21" s="57" t="s">
        <v>3</v>
      </c>
      <c r="M21" s="57"/>
      <c r="N21" s="57"/>
      <c r="O21" s="57"/>
      <c r="AB21" s="71"/>
      <c r="AE21" s="13"/>
      <c r="AF21" s="13"/>
      <c r="AG21" s="13"/>
      <c r="AH21" s="13"/>
      <c r="AI21" s="13"/>
    </row>
    <row r="22" spans="1:40" x14ac:dyDescent="0.25">
      <c r="A22" s="9">
        <v>43577</v>
      </c>
      <c r="B22" s="39">
        <v>2</v>
      </c>
      <c r="C22" s="38" t="s">
        <v>23</v>
      </c>
      <c r="D22" s="39">
        <v>5</v>
      </c>
      <c r="E22" s="39">
        <v>6</v>
      </c>
      <c r="F22" s="38" t="s">
        <v>14</v>
      </c>
      <c r="G22" s="38" t="s">
        <v>20</v>
      </c>
      <c r="H22" s="39">
        <v>10</v>
      </c>
      <c r="I22" s="39">
        <v>9</v>
      </c>
      <c r="J22" s="38" t="s">
        <v>16</v>
      </c>
      <c r="K22" s="38" t="s">
        <v>21</v>
      </c>
      <c r="L22" s="57" t="s">
        <v>4</v>
      </c>
      <c r="M22" s="57"/>
      <c r="N22" s="57"/>
      <c r="O22" s="57"/>
      <c r="AA22" s="37"/>
      <c r="AB22" s="71"/>
      <c r="AC22" s="37"/>
      <c r="AD22" s="37"/>
      <c r="AE22" s="13"/>
      <c r="AF22" s="13"/>
      <c r="AG22" s="13"/>
      <c r="AH22" s="13"/>
      <c r="AI22" s="13"/>
      <c r="AJ22" s="37"/>
      <c r="AK22" s="37"/>
      <c r="AL22" s="37"/>
      <c r="AM22" s="37"/>
      <c r="AN22" s="37"/>
    </row>
    <row r="23" spans="1:40" x14ac:dyDescent="0.25">
      <c r="A23" s="9">
        <v>43578</v>
      </c>
      <c r="B23" s="39">
        <v>2</v>
      </c>
      <c r="C23" s="38" t="s">
        <v>23</v>
      </c>
      <c r="D23" s="39">
        <v>5</v>
      </c>
      <c r="E23" s="39">
        <v>6</v>
      </c>
      <c r="F23" s="38" t="s">
        <v>14</v>
      </c>
      <c r="G23" s="38" t="s">
        <v>20</v>
      </c>
      <c r="H23" s="39">
        <v>10</v>
      </c>
      <c r="I23" s="39">
        <v>9</v>
      </c>
      <c r="J23" s="38" t="s">
        <v>16</v>
      </c>
      <c r="K23" s="38" t="s">
        <v>21</v>
      </c>
      <c r="L23" s="57" t="s">
        <v>5</v>
      </c>
      <c r="M23" s="57"/>
      <c r="N23" s="57"/>
      <c r="O23" s="57"/>
      <c r="AB23" s="71"/>
      <c r="AE23" s="13"/>
      <c r="AF23" s="13"/>
      <c r="AG23" s="13"/>
      <c r="AH23" s="13"/>
      <c r="AI23" s="13"/>
    </row>
    <row r="24" spans="1:40" x14ac:dyDescent="0.25">
      <c r="A24" s="9">
        <v>43579</v>
      </c>
      <c r="B24" s="39">
        <v>2</v>
      </c>
      <c r="C24" s="38" t="s">
        <v>23</v>
      </c>
      <c r="D24" s="39">
        <v>5</v>
      </c>
      <c r="E24" s="39">
        <v>6</v>
      </c>
      <c r="F24" s="38" t="s">
        <v>14</v>
      </c>
      <c r="G24" s="38" t="s">
        <v>20</v>
      </c>
      <c r="H24" s="39">
        <v>10</v>
      </c>
      <c r="I24" s="39">
        <v>9</v>
      </c>
      <c r="J24" s="38" t="s">
        <v>16</v>
      </c>
      <c r="K24" s="38" t="s">
        <v>21</v>
      </c>
      <c r="L24" s="57" t="s">
        <v>6</v>
      </c>
      <c r="M24" s="57"/>
      <c r="N24" s="57"/>
      <c r="O24" s="57"/>
      <c r="AB24" s="71"/>
      <c r="AE24" s="13"/>
      <c r="AF24" s="13"/>
      <c r="AG24" s="13"/>
      <c r="AH24" s="13"/>
      <c r="AI24" s="13"/>
    </row>
    <row r="25" spans="1:40" x14ac:dyDescent="0.25">
      <c r="A25" s="9">
        <v>43580</v>
      </c>
      <c r="B25" s="39">
        <v>8</v>
      </c>
      <c r="C25" s="39">
        <v>7</v>
      </c>
      <c r="D25" s="38" t="s">
        <v>17</v>
      </c>
      <c r="E25" s="38" t="s">
        <v>18</v>
      </c>
      <c r="F25" s="39">
        <v>4</v>
      </c>
      <c r="G25" s="39">
        <v>10</v>
      </c>
      <c r="H25" s="38" t="s">
        <v>19</v>
      </c>
      <c r="I25" s="38" t="s">
        <v>23</v>
      </c>
      <c r="J25" s="39">
        <v>3</v>
      </c>
      <c r="K25" s="38" t="s">
        <v>15</v>
      </c>
      <c r="L25" s="57" t="s">
        <v>7</v>
      </c>
      <c r="M25" s="57"/>
      <c r="N25" s="57"/>
      <c r="O25" s="57"/>
      <c r="AB25" s="71"/>
      <c r="AE25" s="13"/>
      <c r="AF25" s="13"/>
      <c r="AG25" s="13"/>
      <c r="AH25" s="13"/>
      <c r="AI25" s="13"/>
    </row>
    <row r="26" spans="1:40" x14ac:dyDescent="0.25">
      <c r="A26" s="9">
        <v>43581</v>
      </c>
      <c r="B26" s="39">
        <v>8</v>
      </c>
      <c r="C26" s="39">
        <v>7</v>
      </c>
      <c r="D26" s="38" t="s">
        <v>17</v>
      </c>
      <c r="E26" s="38" t="s">
        <v>18</v>
      </c>
      <c r="F26" s="39">
        <v>4</v>
      </c>
      <c r="G26" s="39">
        <v>10</v>
      </c>
      <c r="H26" s="38" t="s">
        <v>19</v>
      </c>
      <c r="I26" s="38" t="s">
        <v>23</v>
      </c>
      <c r="J26" s="39">
        <v>3</v>
      </c>
      <c r="K26" s="38" t="s">
        <v>15</v>
      </c>
      <c r="L26" s="57" t="s">
        <v>1</v>
      </c>
      <c r="M26" s="57"/>
      <c r="N26" s="57"/>
      <c r="O26" s="57"/>
      <c r="T26" s="1" t="s">
        <v>8</v>
      </c>
      <c r="U26" s="1"/>
      <c r="V26" s="2"/>
      <c r="AB26" s="71"/>
      <c r="AE26" s="13"/>
      <c r="AF26" s="13"/>
      <c r="AG26" s="13"/>
      <c r="AH26" s="13"/>
      <c r="AI26" s="13"/>
    </row>
    <row r="27" spans="1:40" x14ac:dyDescent="0.25">
      <c r="A27" s="9">
        <v>43582</v>
      </c>
      <c r="B27" s="39">
        <v>8</v>
      </c>
      <c r="C27" s="39">
        <v>7</v>
      </c>
      <c r="D27" s="38" t="s">
        <v>17</v>
      </c>
      <c r="E27" s="38" t="s">
        <v>18</v>
      </c>
      <c r="F27" s="39">
        <v>4</v>
      </c>
      <c r="G27" s="39">
        <v>10</v>
      </c>
      <c r="H27" s="38" t="s">
        <v>19</v>
      </c>
      <c r="I27" s="38" t="s">
        <v>23</v>
      </c>
      <c r="J27" s="39">
        <v>3</v>
      </c>
      <c r="K27" s="38" t="s">
        <v>15</v>
      </c>
      <c r="L27" s="57" t="s">
        <v>2</v>
      </c>
      <c r="M27" s="57"/>
      <c r="N27" s="57"/>
      <c r="O27" s="57"/>
      <c r="AB27" s="71"/>
      <c r="AE27" s="13"/>
      <c r="AF27" s="13"/>
      <c r="AG27" s="13"/>
      <c r="AH27" s="13"/>
      <c r="AI27" s="13"/>
    </row>
    <row r="28" spans="1:40" x14ac:dyDescent="0.25">
      <c r="A28" s="9">
        <v>43583</v>
      </c>
      <c r="B28" s="39">
        <v>8</v>
      </c>
      <c r="C28" s="39">
        <v>7</v>
      </c>
      <c r="D28" s="38" t="s">
        <v>17</v>
      </c>
      <c r="E28" s="38" t="s">
        <v>18</v>
      </c>
      <c r="F28" s="39">
        <v>4</v>
      </c>
      <c r="G28" s="39">
        <v>10</v>
      </c>
      <c r="H28" s="38" t="s">
        <v>19</v>
      </c>
      <c r="I28" s="38" t="s">
        <v>23</v>
      </c>
      <c r="J28" s="39">
        <v>3</v>
      </c>
      <c r="K28" s="38" t="s">
        <v>15</v>
      </c>
      <c r="L28" s="57" t="s">
        <v>3</v>
      </c>
      <c r="M28" s="57"/>
      <c r="N28" s="58"/>
      <c r="O28" s="59">
        <v>1</v>
      </c>
      <c r="P28" s="5">
        <v>2</v>
      </c>
      <c r="Q28" s="5">
        <v>3</v>
      </c>
      <c r="R28" s="5">
        <v>4</v>
      </c>
      <c r="S28" s="5">
        <v>5</v>
      </c>
      <c r="T28" s="5">
        <v>6</v>
      </c>
      <c r="U28" s="5">
        <v>7</v>
      </c>
      <c r="V28" s="5">
        <v>8</v>
      </c>
      <c r="W28" s="5">
        <v>9</v>
      </c>
      <c r="X28" s="5">
        <v>10</v>
      </c>
      <c r="Y28" s="49" t="s">
        <v>9</v>
      </c>
      <c r="Z28" s="49"/>
      <c r="AA28" s="49"/>
      <c r="AB28" s="72"/>
      <c r="AC28" s="49"/>
      <c r="AE28" s="13"/>
      <c r="AF28" s="13"/>
      <c r="AG28" s="13"/>
      <c r="AH28" s="13"/>
      <c r="AI28" s="13"/>
    </row>
    <row r="29" spans="1:40" ht="15.75" x14ac:dyDescent="0.25">
      <c r="A29" s="9">
        <v>43584</v>
      </c>
      <c r="B29" s="39">
        <v>8</v>
      </c>
      <c r="C29" s="39">
        <v>7</v>
      </c>
      <c r="D29" s="38" t="s">
        <v>17</v>
      </c>
      <c r="E29" s="38" t="s">
        <v>18</v>
      </c>
      <c r="F29" s="39">
        <v>4</v>
      </c>
      <c r="G29" s="39">
        <v>10</v>
      </c>
      <c r="H29" s="38" t="s">
        <v>19</v>
      </c>
      <c r="I29" s="38" t="s">
        <v>23</v>
      </c>
      <c r="J29" s="39">
        <v>3</v>
      </c>
      <c r="K29" s="38" t="s">
        <v>15</v>
      </c>
      <c r="L29" s="57" t="s">
        <v>4</v>
      </c>
      <c r="M29" s="57"/>
      <c r="N29" s="10">
        <v>1</v>
      </c>
      <c r="O29" s="57">
        <f t="shared" ref="O29:X29" si="0">COUNTIF($B$4:$B$155,O$28)+COUNTIF($B$4:$B$155,"@"&amp;O$28)</f>
        <v>0</v>
      </c>
      <c r="P29">
        <f t="shared" si="0"/>
        <v>20</v>
      </c>
      <c r="Q29">
        <f t="shared" si="0"/>
        <v>26</v>
      </c>
      <c r="R29">
        <f t="shared" si="0"/>
        <v>20</v>
      </c>
      <c r="S29">
        <f t="shared" si="0"/>
        <v>24</v>
      </c>
      <c r="T29">
        <f t="shared" si="0"/>
        <v>11</v>
      </c>
      <c r="U29">
        <f t="shared" si="0"/>
        <v>10</v>
      </c>
      <c r="V29">
        <f t="shared" si="0"/>
        <v>10</v>
      </c>
      <c r="W29">
        <f t="shared" si="0"/>
        <v>9</v>
      </c>
      <c r="X29">
        <f t="shared" si="0"/>
        <v>10</v>
      </c>
      <c r="Y29" s="51">
        <f>SUM(O29:X29)</f>
        <v>140</v>
      </c>
      <c r="Z29" s="13"/>
      <c r="AA29" s="13"/>
      <c r="AB29" s="71"/>
      <c r="AC29" s="13"/>
      <c r="AE29" s="13"/>
      <c r="AF29" s="13"/>
      <c r="AG29" s="13"/>
      <c r="AH29" s="13"/>
      <c r="AI29" s="13"/>
    </row>
    <row r="30" spans="1:40" ht="15.75" x14ac:dyDescent="0.25">
      <c r="A30" s="9">
        <v>43585</v>
      </c>
      <c r="B30" s="40" t="s">
        <v>27</v>
      </c>
      <c r="C30" s="40" t="s">
        <v>27</v>
      </c>
      <c r="D30" s="40" t="s">
        <v>27</v>
      </c>
      <c r="E30" s="40" t="s">
        <v>27</v>
      </c>
      <c r="F30" s="40" t="s">
        <v>27</v>
      </c>
      <c r="G30" s="40" t="s">
        <v>27</v>
      </c>
      <c r="H30" s="40" t="s">
        <v>27</v>
      </c>
      <c r="I30" s="40" t="s">
        <v>27</v>
      </c>
      <c r="J30" s="40" t="s">
        <v>27</v>
      </c>
      <c r="K30" s="40" t="s">
        <v>27</v>
      </c>
      <c r="L30" s="57" t="s">
        <v>5</v>
      </c>
      <c r="M30" s="57"/>
      <c r="N30" s="10">
        <v>2</v>
      </c>
      <c r="O30" s="57">
        <f t="shared" ref="O30:X30" si="1">COUNTIF($C$4:$C$155,O$28)+COUNTIF($C$4:$C$155,"@"&amp;O$28)</f>
        <v>20</v>
      </c>
      <c r="P30">
        <f t="shared" si="1"/>
        <v>0</v>
      </c>
      <c r="Q30">
        <f t="shared" si="1"/>
        <v>25</v>
      </c>
      <c r="R30">
        <f t="shared" si="1"/>
        <v>20</v>
      </c>
      <c r="S30">
        <f t="shared" si="1"/>
        <v>21</v>
      </c>
      <c r="T30">
        <f t="shared" si="1"/>
        <v>9</v>
      </c>
      <c r="U30">
        <f t="shared" si="1"/>
        <v>15</v>
      </c>
      <c r="V30">
        <f t="shared" si="1"/>
        <v>10</v>
      </c>
      <c r="W30">
        <f t="shared" si="1"/>
        <v>11</v>
      </c>
      <c r="X30">
        <f t="shared" si="1"/>
        <v>9</v>
      </c>
      <c r="Y30" s="51">
        <f t="shared" ref="Y30:Y38" si="2">SUM(O30:X30)</f>
        <v>140</v>
      </c>
      <c r="AB30" s="73"/>
      <c r="AC30" s="75"/>
      <c r="AE30" s="13"/>
      <c r="AF30" s="13"/>
      <c r="AG30" s="13"/>
      <c r="AH30" s="13"/>
      <c r="AI30" s="13"/>
    </row>
    <row r="31" spans="1:40" ht="15.75" x14ac:dyDescent="0.25">
      <c r="A31" s="9">
        <v>43586</v>
      </c>
      <c r="B31" s="38" t="s">
        <v>14</v>
      </c>
      <c r="C31" s="38" t="s">
        <v>20</v>
      </c>
      <c r="D31" s="39">
        <v>1</v>
      </c>
      <c r="E31" s="39">
        <v>2</v>
      </c>
      <c r="F31" s="38" t="s">
        <v>25</v>
      </c>
      <c r="G31" s="38" t="s">
        <v>16</v>
      </c>
      <c r="H31" s="39">
        <v>9</v>
      </c>
      <c r="I31" s="39">
        <v>6</v>
      </c>
      <c r="J31" s="38" t="s">
        <v>21</v>
      </c>
      <c r="K31" s="39">
        <v>5</v>
      </c>
      <c r="L31" s="57" t="s">
        <v>6</v>
      </c>
      <c r="M31" s="57"/>
      <c r="N31" s="10">
        <v>3</v>
      </c>
      <c r="O31" s="79">
        <f t="shared" ref="O31:X31" si="3">COUNTIF($D$4:$D$155,O$28)+COUNTIF($D$4:$D$155,"@"&amp;O$28)</f>
        <v>26</v>
      </c>
      <c r="P31">
        <f t="shared" si="3"/>
        <v>25</v>
      </c>
      <c r="Q31">
        <f t="shared" si="3"/>
        <v>0</v>
      </c>
      <c r="R31" s="77">
        <f t="shared" si="3"/>
        <v>18</v>
      </c>
      <c r="S31">
        <f t="shared" si="3"/>
        <v>20</v>
      </c>
      <c r="T31">
        <f t="shared" si="3"/>
        <v>10</v>
      </c>
      <c r="U31">
        <f t="shared" si="3"/>
        <v>11</v>
      </c>
      <c r="V31">
        <f t="shared" si="3"/>
        <v>10</v>
      </c>
      <c r="W31">
        <f t="shared" si="3"/>
        <v>10</v>
      </c>
      <c r="X31">
        <f t="shared" si="3"/>
        <v>10</v>
      </c>
      <c r="Y31" s="51">
        <f t="shared" si="2"/>
        <v>140</v>
      </c>
      <c r="AE31" s="13"/>
      <c r="AF31" s="13"/>
      <c r="AG31" s="13"/>
      <c r="AH31" s="13"/>
      <c r="AI31" s="13"/>
    </row>
    <row r="32" spans="1:40" ht="15.75" x14ac:dyDescent="0.25">
      <c r="A32" s="9">
        <v>43587</v>
      </c>
      <c r="B32" s="38" t="s">
        <v>14</v>
      </c>
      <c r="C32" s="38" t="s">
        <v>20</v>
      </c>
      <c r="D32" s="39">
        <v>1</v>
      </c>
      <c r="E32" s="39">
        <v>2</v>
      </c>
      <c r="F32" s="38" t="s">
        <v>25</v>
      </c>
      <c r="G32" s="38" t="s">
        <v>16</v>
      </c>
      <c r="H32" s="39">
        <v>9</v>
      </c>
      <c r="I32" s="39">
        <v>6</v>
      </c>
      <c r="J32" s="38" t="s">
        <v>21</v>
      </c>
      <c r="K32" s="39">
        <v>5</v>
      </c>
      <c r="L32" s="57" t="s">
        <v>7</v>
      </c>
      <c r="M32" s="57"/>
      <c r="N32" s="10">
        <v>4</v>
      </c>
      <c r="O32" s="78">
        <f t="shared" ref="O32:X32" si="4">COUNTIF($E$4:$E$155,O$28)+COUNTIF($E$4:$E$155,"@"&amp;O$28)</f>
        <v>20</v>
      </c>
      <c r="P32">
        <f t="shared" si="4"/>
        <v>20</v>
      </c>
      <c r="Q32" s="77">
        <f t="shared" si="4"/>
        <v>18</v>
      </c>
      <c r="R32">
        <f t="shared" si="4"/>
        <v>0</v>
      </c>
      <c r="S32">
        <f t="shared" si="4"/>
        <v>21</v>
      </c>
      <c r="T32">
        <f t="shared" si="4"/>
        <v>10</v>
      </c>
      <c r="U32">
        <f t="shared" si="4"/>
        <v>10</v>
      </c>
      <c r="V32">
        <f t="shared" si="4"/>
        <v>10</v>
      </c>
      <c r="W32">
        <f t="shared" si="4"/>
        <v>15</v>
      </c>
      <c r="X32">
        <f t="shared" si="4"/>
        <v>16</v>
      </c>
      <c r="Y32" s="51">
        <f t="shared" si="2"/>
        <v>140</v>
      </c>
      <c r="AE32" s="13"/>
      <c r="AF32" s="13"/>
      <c r="AG32" s="13"/>
      <c r="AH32" s="13"/>
      <c r="AI32" s="13"/>
    </row>
    <row r="33" spans="1:35" ht="15.75" x14ac:dyDescent="0.25">
      <c r="A33" s="9">
        <v>43588</v>
      </c>
      <c r="B33" s="38" t="s">
        <v>14</v>
      </c>
      <c r="C33" s="38" t="s">
        <v>20</v>
      </c>
      <c r="D33" s="39">
        <v>1</v>
      </c>
      <c r="E33" s="39">
        <v>2</v>
      </c>
      <c r="F33" s="38" t="s">
        <v>25</v>
      </c>
      <c r="G33" s="38" t="s">
        <v>16</v>
      </c>
      <c r="H33" s="39">
        <v>9</v>
      </c>
      <c r="I33" s="39">
        <v>6</v>
      </c>
      <c r="J33" s="38" t="s">
        <v>21</v>
      </c>
      <c r="K33" s="39">
        <v>5</v>
      </c>
      <c r="L33" s="57" t="s">
        <v>1</v>
      </c>
      <c r="M33" s="57"/>
      <c r="N33" s="10">
        <v>5</v>
      </c>
      <c r="O33" s="57">
        <f t="shared" ref="O33:X33" si="5">COUNTIF($F$4:$F$155,O$28)+COUNTIF($F$4:$F$155,"@"&amp;O$28)</f>
        <v>24</v>
      </c>
      <c r="P33">
        <f t="shared" si="5"/>
        <v>21</v>
      </c>
      <c r="Q33">
        <f t="shared" si="5"/>
        <v>20</v>
      </c>
      <c r="R33">
        <f t="shared" si="5"/>
        <v>21</v>
      </c>
      <c r="S33">
        <f t="shared" si="5"/>
        <v>0</v>
      </c>
      <c r="T33">
        <f t="shared" si="5"/>
        <v>15</v>
      </c>
      <c r="U33">
        <f t="shared" si="5"/>
        <v>10</v>
      </c>
      <c r="V33">
        <f t="shared" si="5"/>
        <v>9</v>
      </c>
      <c r="W33">
        <f t="shared" si="5"/>
        <v>10</v>
      </c>
      <c r="X33">
        <f t="shared" si="5"/>
        <v>10</v>
      </c>
      <c r="Y33" s="51">
        <f t="shared" si="2"/>
        <v>140</v>
      </c>
      <c r="AE33" s="13"/>
      <c r="AF33" s="13"/>
      <c r="AG33" s="13"/>
      <c r="AH33" s="13"/>
      <c r="AI33" s="13"/>
    </row>
    <row r="34" spans="1:35" ht="15.75" x14ac:dyDescent="0.25">
      <c r="A34" s="9">
        <v>43589</v>
      </c>
      <c r="B34" s="38" t="s">
        <v>14</v>
      </c>
      <c r="C34" s="38" t="s">
        <v>20</v>
      </c>
      <c r="D34" s="39">
        <v>1</v>
      </c>
      <c r="E34" s="39">
        <v>2</v>
      </c>
      <c r="F34" s="38" t="s">
        <v>25</v>
      </c>
      <c r="G34" s="38" t="s">
        <v>16</v>
      </c>
      <c r="H34" s="39">
        <v>9</v>
      </c>
      <c r="I34" s="39">
        <v>6</v>
      </c>
      <c r="J34" s="38" t="s">
        <v>21</v>
      </c>
      <c r="K34" s="39">
        <v>5</v>
      </c>
      <c r="L34" s="57" t="s">
        <v>2</v>
      </c>
      <c r="M34" s="57"/>
      <c r="N34" s="10">
        <v>6</v>
      </c>
      <c r="O34" s="57">
        <f t="shared" ref="O34:X34" si="6">COUNTIF($G$4:$G$155,O$28)+COUNTIF($G$4:$G$155,"@"&amp;O$28)</f>
        <v>11</v>
      </c>
      <c r="P34">
        <f t="shared" si="6"/>
        <v>9</v>
      </c>
      <c r="Q34">
        <f t="shared" si="6"/>
        <v>10</v>
      </c>
      <c r="R34">
        <f t="shared" si="6"/>
        <v>10</v>
      </c>
      <c r="S34">
        <f t="shared" si="6"/>
        <v>15</v>
      </c>
      <c r="T34">
        <f t="shared" si="6"/>
        <v>0</v>
      </c>
      <c r="U34">
        <f t="shared" si="6"/>
        <v>26</v>
      </c>
      <c r="V34">
        <f t="shared" si="6"/>
        <v>19</v>
      </c>
      <c r="W34" s="6">
        <f t="shared" si="6"/>
        <v>20</v>
      </c>
      <c r="X34">
        <f t="shared" si="6"/>
        <v>20</v>
      </c>
      <c r="Y34" s="51">
        <f t="shared" si="2"/>
        <v>140</v>
      </c>
      <c r="AE34" s="13"/>
      <c r="AF34" s="13"/>
      <c r="AG34" s="13"/>
      <c r="AH34" s="13"/>
      <c r="AI34" s="13"/>
    </row>
    <row r="35" spans="1:35" ht="15.75" x14ac:dyDescent="0.25">
      <c r="A35" s="9">
        <v>43590</v>
      </c>
      <c r="B35" s="38" t="s">
        <v>14</v>
      </c>
      <c r="C35" s="38" t="s">
        <v>20</v>
      </c>
      <c r="D35" s="39">
        <v>1</v>
      </c>
      <c r="E35" s="39">
        <v>2</v>
      </c>
      <c r="F35" s="38" t="s">
        <v>25</v>
      </c>
      <c r="G35" s="38" t="s">
        <v>16</v>
      </c>
      <c r="H35" s="39">
        <v>9</v>
      </c>
      <c r="I35" s="39">
        <v>6</v>
      </c>
      <c r="J35" s="38" t="s">
        <v>21</v>
      </c>
      <c r="K35" s="39">
        <v>5</v>
      </c>
      <c r="L35" s="57" t="s">
        <v>3</v>
      </c>
      <c r="M35" s="57"/>
      <c r="N35" s="10">
        <v>7</v>
      </c>
      <c r="O35" s="57">
        <f t="shared" ref="O35:X35" si="7">COUNTIF($H$4:$H$155,O$28)+COUNTIF($H$4:$H$155,"@"&amp;O$28)</f>
        <v>10</v>
      </c>
      <c r="P35">
        <f t="shared" si="7"/>
        <v>15</v>
      </c>
      <c r="Q35">
        <f t="shared" si="7"/>
        <v>11</v>
      </c>
      <c r="R35">
        <f t="shared" si="7"/>
        <v>10</v>
      </c>
      <c r="S35">
        <f t="shared" si="7"/>
        <v>10</v>
      </c>
      <c r="T35">
        <f t="shared" si="7"/>
        <v>26</v>
      </c>
      <c r="U35">
        <f t="shared" si="7"/>
        <v>0</v>
      </c>
      <c r="V35">
        <f t="shared" si="7"/>
        <v>20</v>
      </c>
      <c r="W35">
        <f t="shared" si="7"/>
        <v>19</v>
      </c>
      <c r="X35">
        <f t="shared" si="7"/>
        <v>19</v>
      </c>
      <c r="Y35" s="51">
        <f t="shared" si="2"/>
        <v>140</v>
      </c>
      <c r="AE35" s="13"/>
      <c r="AF35" s="13"/>
      <c r="AG35" s="13"/>
      <c r="AH35" s="13"/>
      <c r="AI35" s="13"/>
    </row>
    <row r="36" spans="1:35" ht="15.75" x14ac:dyDescent="0.25">
      <c r="A36" s="9">
        <v>43591</v>
      </c>
      <c r="B36" s="38" t="s">
        <v>19</v>
      </c>
      <c r="C36" s="39">
        <v>1</v>
      </c>
      <c r="D36" s="38" t="s">
        <v>18</v>
      </c>
      <c r="E36" s="38" t="s">
        <v>15</v>
      </c>
      <c r="F36" s="39">
        <v>3</v>
      </c>
      <c r="G36" s="39">
        <v>4</v>
      </c>
      <c r="H36" s="38" t="s">
        <v>25</v>
      </c>
      <c r="I36" s="38" t="s">
        <v>17</v>
      </c>
      <c r="J36" s="39">
        <v>8</v>
      </c>
      <c r="K36" s="39">
        <v>7</v>
      </c>
      <c r="L36" s="57" t="s">
        <v>4</v>
      </c>
      <c r="M36" s="57"/>
      <c r="N36" s="10">
        <v>8</v>
      </c>
      <c r="O36" s="57">
        <f t="shared" ref="O36:X36" si="8">COUNTIF($I$4:$I$155,O$28)+COUNTIF($I$4:$I$155,"@"&amp;O$28)</f>
        <v>10</v>
      </c>
      <c r="P36">
        <f t="shared" si="8"/>
        <v>10</v>
      </c>
      <c r="Q36">
        <f t="shared" si="8"/>
        <v>10</v>
      </c>
      <c r="R36">
        <f t="shared" si="8"/>
        <v>10</v>
      </c>
      <c r="S36">
        <f t="shared" si="8"/>
        <v>9</v>
      </c>
      <c r="T36">
        <f t="shared" si="8"/>
        <v>19</v>
      </c>
      <c r="U36">
        <f t="shared" si="8"/>
        <v>20</v>
      </c>
      <c r="V36">
        <f t="shared" si="8"/>
        <v>0</v>
      </c>
      <c r="W36">
        <f t="shared" si="8"/>
        <v>26</v>
      </c>
      <c r="X36">
        <f t="shared" si="8"/>
        <v>26</v>
      </c>
      <c r="Y36" s="51">
        <f t="shared" si="2"/>
        <v>140</v>
      </c>
      <c r="AE36" s="13"/>
      <c r="AF36" s="13"/>
      <c r="AG36" s="13"/>
      <c r="AH36" s="13"/>
      <c r="AI36" s="13"/>
    </row>
    <row r="37" spans="1:35" ht="15.75" x14ac:dyDescent="0.25">
      <c r="A37" s="9">
        <v>43592</v>
      </c>
      <c r="B37" s="38" t="s">
        <v>19</v>
      </c>
      <c r="C37" s="39">
        <v>1</v>
      </c>
      <c r="D37" s="38" t="s">
        <v>18</v>
      </c>
      <c r="E37" s="38" t="s">
        <v>15</v>
      </c>
      <c r="F37" s="39">
        <v>3</v>
      </c>
      <c r="G37" s="39">
        <v>4</v>
      </c>
      <c r="H37" s="38" t="s">
        <v>25</v>
      </c>
      <c r="I37" s="38" t="s">
        <v>17</v>
      </c>
      <c r="J37" s="39">
        <v>8</v>
      </c>
      <c r="K37" s="39">
        <v>7</v>
      </c>
      <c r="L37" s="57" t="s">
        <v>5</v>
      </c>
      <c r="M37" s="57"/>
      <c r="N37" s="10">
        <v>9</v>
      </c>
      <c r="O37" s="57">
        <f t="shared" ref="O37:X37" si="9">COUNTIF($J$4:$J$155,O$28)+COUNTIF($J$4:$J$155,"@"&amp;O$28)</f>
        <v>9</v>
      </c>
      <c r="P37">
        <f t="shared" si="9"/>
        <v>11</v>
      </c>
      <c r="Q37">
        <f t="shared" si="9"/>
        <v>10</v>
      </c>
      <c r="R37">
        <f t="shared" si="9"/>
        <v>15</v>
      </c>
      <c r="S37">
        <f t="shared" si="9"/>
        <v>10</v>
      </c>
      <c r="T37" s="6">
        <f t="shared" si="9"/>
        <v>20</v>
      </c>
      <c r="U37">
        <f t="shared" si="9"/>
        <v>19</v>
      </c>
      <c r="V37">
        <f t="shared" si="9"/>
        <v>26</v>
      </c>
      <c r="W37">
        <f t="shared" si="9"/>
        <v>0</v>
      </c>
      <c r="X37">
        <f t="shared" si="9"/>
        <v>20</v>
      </c>
      <c r="Y37" s="51">
        <f t="shared" si="2"/>
        <v>140</v>
      </c>
      <c r="AE37" s="13"/>
      <c r="AF37" s="13"/>
      <c r="AG37" s="13"/>
      <c r="AH37" s="13"/>
      <c r="AI37" s="13"/>
    </row>
    <row r="38" spans="1:35" ht="15.75" x14ac:dyDescent="0.25">
      <c r="A38" s="9">
        <v>43593</v>
      </c>
      <c r="B38" s="38" t="s">
        <v>19</v>
      </c>
      <c r="C38" s="39">
        <v>1</v>
      </c>
      <c r="D38" s="38" t="s">
        <v>18</v>
      </c>
      <c r="E38" s="38" t="s">
        <v>15</v>
      </c>
      <c r="F38" s="39">
        <v>3</v>
      </c>
      <c r="G38" s="39">
        <v>4</v>
      </c>
      <c r="H38" s="38" t="s">
        <v>25</v>
      </c>
      <c r="I38" s="38" t="s">
        <v>17</v>
      </c>
      <c r="J38" s="39">
        <v>8</v>
      </c>
      <c r="K38" s="39">
        <v>7</v>
      </c>
      <c r="L38" s="57" t="s">
        <v>6</v>
      </c>
      <c r="M38" s="57"/>
      <c r="N38" s="10">
        <v>10</v>
      </c>
      <c r="O38" s="60">
        <f t="shared" ref="O38:X38" si="10">COUNTIF($K$4:$K$155,O$28)+COUNTIF($K$4:$K$155,"@"&amp;O$28)</f>
        <v>10</v>
      </c>
      <c r="P38" s="15">
        <f t="shared" si="10"/>
        <v>9</v>
      </c>
      <c r="Q38" s="15">
        <f t="shared" si="10"/>
        <v>10</v>
      </c>
      <c r="R38" s="15">
        <f t="shared" si="10"/>
        <v>16</v>
      </c>
      <c r="S38" s="15">
        <f t="shared" si="10"/>
        <v>10</v>
      </c>
      <c r="T38" s="15">
        <f t="shared" si="10"/>
        <v>20</v>
      </c>
      <c r="U38" s="15">
        <f t="shared" si="10"/>
        <v>19</v>
      </c>
      <c r="V38" s="15">
        <f t="shared" si="10"/>
        <v>26</v>
      </c>
      <c r="W38" s="15">
        <f t="shared" si="10"/>
        <v>20</v>
      </c>
      <c r="X38" s="4">
        <f t="shared" si="10"/>
        <v>0</v>
      </c>
      <c r="Y38" s="51">
        <f t="shared" si="2"/>
        <v>140</v>
      </c>
      <c r="AE38" s="13"/>
      <c r="AF38" s="13"/>
      <c r="AG38" s="13"/>
      <c r="AH38" s="13"/>
      <c r="AI38" s="13"/>
    </row>
    <row r="39" spans="1:35" x14ac:dyDescent="0.25">
      <c r="A39" s="9">
        <v>43594</v>
      </c>
      <c r="B39" s="38" t="s">
        <v>19</v>
      </c>
      <c r="C39" s="39">
        <v>1</v>
      </c>
      <c r="D39" s="38" t="s">
        <v>18</v>
      </c>
      <c r="E39" s="38" t="s">
        <v>15</v>
      </c>
      <c r="F39" s="39">
        <v>3</v>
      </c>
      <c r="G39" s="39">
        <v>4</v>
      </c>
      <c r="H39" s="38" t="s">
        <v>25</v>
      </c>
      <c r="I39" s="38" t="s">
        <v>17</v>
      </c>
      <c r="J39" s="39">
        <v>8</v>
      </c>
      <c r="K39" s="39">
        <v>7</v>
      </c>
      <c r="L39" s="57" t="s">
        <v>7</v>
      </c>
      <c r="M39" s="57"/>
      <c r="N39" s="50" t="s">
        <v>9</v>
      </c>
      <c r="O39" s="61">
        <f>SUM(O29:O38)</f>
        <v>140</v>
      </c>
      <c r="P39" s="13">
        <f t="shared" ref="P39:X39" si="11">SUM(P29:P38)</f>
        <v>140</v>
      </c>
      <c r="Q39" s="13">
        <f t="shared" si="11"/>
        <v>140</v>
      </c>
      <c r="R39" s="13">
        <f t="shared" si="11"/>
        <v>140</v>
      </c>
      <c r="S39" s="13">
        <f t="shared" si="11"/>
        <v>140</v>
      </c>
      <c r="T39" s="13">
        <f t="shared" si="11"/>
        <v>140</v>
      </c>
      <c r="U39" s="13">
        <f t="shared" si="11"/>
        <v>140</v>
      </c>
      <c r="V39" s="13">
        <f t="shared" si="11"/>
        <v>140</v>
      </c>
      <c r="W39" s="13">
        <f t="shared" si="11"/>
        <v>140</v>
      </c>
      <c r="X39" s="13">
        <f t="shared" si="11"/>
        <v>140</v>
      </c>
      <c r="AE39" s="13"/>
      <c r="AF39" s="13"/>
      <c r="AG39" s="13"/>
      <c r="AH39" s="13"/>
      <c r="AI39" s="13"/>
    </row>
    <row r="40" spans="1:35" x14ac:dyDescent="0.25">
      <c r="A40" s="9">
        <v>43595</v>
      </c>
      <c r="B40" s="38" t="s">
        <v>19</v>
      </c>
      <c r="C40" s="39">
        <v>1</v>
      </c>
      <c r="D40" s="38" t="s">
        <v>18</v>
      </c>
      <c r="E40" s="38" t="s">
        <v>15</v>
      </c>
      <c r="F40" s="39">
        <v>3</v>
      </c>
      <c r="G40" s="39">
        <v>4</v>
      </c>
      <c r="H40" s="38" t="s">
        <v>25</v>
      </c>
      <c r="I40" s="38" t="s">
        <v>17</v>
      </c>
      <c r="J40" s="39">
        <v>8</v>
      </c>
      <c r="K40" s="39">
        <v>7</v>
      </c>
      <c r="L40" s="57" t="s">
        <v>1</v>
      </c>
      <c r="M40" s="57"/>
      <c r="N40" s="50"/>
      <c r="O40" s="61"/>
      <c r="AE40" s="13"/>
      <c r="AF40" s="13"/>
      <c r="AG40" s="13"/>
      <c r="AH40" s="13"/>
      <c r="AI40" s="13"/>
    </row>
    <row r="41" spans="1:35" x14ac:dyDescent="0.25">
      <c r="A41" s="9">
        <v>43596</v>
      </c>
      <c r="B41" s="39">
        <v>3</v>
      </c>
      <c r="C41" s="39">
        <v>10</v>
      </c>
      <c r="D41" s="38" t="s">
        <v>23</v>
      </c>
      <c r="E41" s="39">
        <v>5</v>
      </c>
      <c r="F41" s="38" t="s">
        <v>20</v>
      </c>
      <c r="G41" s="39">
        <v>9</v>
      </c>
      <c r="H41" s="38" t="s">
        <v>16</v>
      </c>
      <c r="I41" s="39">
        <v>7</v>
      </c>
      <c r="J41" s="38" t="s">
        <v>15</v>
      </c>
      <c r="K41" s="38" t="s">
        <v>19</v>
      </c>
      <c r="L41" s="57" t="s">
        <v>2</v>
      </c>
      <c r="M41" s="57"/>
      <c r="N41" s="50"/>
      <c r="O41" s="61"/>
      <c r="AE41" s="13"/>
      <c r="AF41" s="13"/>
      <c r="AG41" s="13"/>
      <c r="AH41" s="13"/>
      <c r="AI41" s="13"/>
    </row>
    <row r="42" spans="1:35" x14ac:dyDescent="0.25">
      <c r="A42" s="9">
        <v>43597</v>
      </c>
      <c r="B42" s="39">
        <v>3</v>
      </c>
      <c r="C42" s="39">
        <v>10</v>
      </c>
      <c r="D42" s="38" t="s">
        <v>23</v>
      </c>
      <c r="E42" s="39">
        <v>5</v>
      </c>
      <c r="F42" s="38" t="s">
        <v>20</v>
      </c>
      <c r="G42" s="39">
        <v>9</v>
      </c>
      <c r="H42" s="38" t="s">
        <v>16</v>
      </c>
      <c r="I42" s="39">
        <v>7</v>
      </c>
      <c r="J42" s="38" t="s">
        <v>15</v>
      </c>
      <c r="K42" s="38" t="s">
        <v>19</v>
      </c>
      <c r="L42" s="57" t="s">
        <v>3</v>
      </c>
      <c r="M42" s="57"/>
      <c r="N42" s="50"/>
      <c r="O42" s="61"/>
      <c r="AE42" s="13"/>
      <c r="AF42" s="13"/>
      <c r="AG42" s="13"/>
      <c r="AH42" s="13"/>
      <c r="AI42" s="13"/>
    </row>
    <row r="43" spans="1:35" x14ac:dyDescent="0.25">
      <c r="A43" s="9">
        <v>43598</v>
      </c>
      <c r="B43" s="39">
        <v>3</v>
      </c>
      <c r="C43" s="39">
        <v>10</v>
      </c>
      <c r="D43" s="38" t="s">
        <v>23</v>
      </c>
      <c r="E43" s="39">
        <v>5</v>
      </c>
      <c r="F43" s="38" t="s">
        <v>20</v>
      </c>
      <c r="G43" s="39">
        <v>9</v>
      </c>
      <c r="H43" s="38" t="s">
        <v>16</v>
      </c>
      <c r="I43" s="39">
        <v>7</v>
      </c>
      <c r="J43" s="38" t="s">
        <v>15</v>
      </c>
      <c r="K43" s="38" t="s">
        <v>19</v>
      </c>
      <c r="L43" s="57" t="s">
        <v>4</v>
      </c>
      <c r="M43" s="57"/>
      <c r="N43" s="50"/>
      <c r="O43" s="61"/>
      <c r="AE43" s="13"/>
      <c r="AF43" s="13"/>
      <c r="AG43" s="13"/>
      <c r="AH43" s="13"/>
      <c r="AI43" s="13"/>
    </row>
    <row r="44" spans="1:35" x14ac:dyDescent="0.25">
      <c r="A44" s="9">
        <v>43599</v>
      </c>
      <c r="B44" s="39">
        <v>3</v>
      </c>
      <c r="C44" s="39">
        <v>10</v>
      </c>
      <c r="D44" s="38" t="s">
        <v>23</v>
      </c>
      <c r="E44" s="39">
        <v>5</v>
      </c>
      <c r="F44" s="38" t="s">
        <v>20</v>
      </c>
      <c r="G44" s="39">
        <v>9</v>
      </c>
      <c r="H44" s="38" t="s">
        <v>16</v>
      </c>
      <c r="I44" s="39">
        <v>7</v>
      </c>
      <c r="J44" s="38" t="s">
        <v>15</v>
      </c>
      <c r="K44" s="38" t="s">
        <v>19</v>
      </c>
      <c r="L44" s="57" t="s">
        <v>5</v>
      </c>
      <c r="M44" s="57"/>
      <c r="N44" s="57"/>
      <c r="O44" s="57"/>
      <c r="AE44" s="13"/>
      <c r="AF44" s="13"/>
      <c r="AG44" s="13"/>
      <c r="AH44" s="13"/>
      <c r="AI44" s="13"/>
    </row>
    <row r="45" spans="1:35" x14ac:dyDescent="0.25">
      <c r="A45" s="9">
        <v>43600</v>
      </c>
      <c r="B45" s="39">
        <v>3</v>
      </c>
      <c r="C45" s="39">
        <v>10</v>
      </c>
      <c r="D45" s="38" t="s">
        <v>23</v>
      </c>
      <c r="E45" s="39">
        <v>5</v>
      </c>
      <c r="F45" s="38" t="s">
        <v>20</v>
      </c>
      <c r="G45" s="39">
        <v>9</v>
      </c>
      <c r="H45" s="38" t="s">
        <v>16</v>
      </c>
      <c r="I45" s="39">
        <v>7</v>
      </c>
      <c r="J45" s="38" t="s">
        <v>15</v>
      </c>
      <c r="K45" s="38" t="s">
        <v>19</v>
      </c>
      <c r="L45" s="57" t="s">
        <v>6</v>
      </c>
      <c r="M45" s="57"/>
      <c r="N45" s="62" t="s">
        <v>10</v>
      </c>
      <c r="O45" s="20">
        <v>1</v>
      </c>
      <c r="P45" s="3">
        <v>2</v>
      </c>
      <c r="Q45" s="3">
        <v>3</v>
      </c>
      <c r="R45" s="3">
        <v>4</v>
      </c>
      <c r="S45" s="3">
        <v>5</v>
      </c>
      <c r="T45" s="3">
        <v>6</v>
      </c>
      <c r="U45" s="3">
        <v>7</v>
      </c>
      <c r="V45" s="3">
        <v>8</v>
      </c>
      <c r="W45" s="3">
        <v>9</v>
      </c>
      <c r="X45" s="3">
        <v>10</v>
      </c>
      <c r="Y45" s="52"/>
      <c r="Z45" s="52"/>
      <c r="AA45" s="52"/>
      <c r="AB45" s="52"/>
      <c r="AC45" s="19"/>
      <c r="AD45" s="19"/>
      <c r="AE45" s="13"/>
      <c r="AF45" s="13"/>
      <c r="AG45" s="13"/>
      <c r="AH45" s="13"/>
      <c r="AI45" s="13"/>
    </row>
    <row r="46" spans="1:35" x14ac:dyDescent="0.25">
      <c r="A46" s="9">
        <v>43601</v>
      </c>
      <c r="B46" s="38" t="s">
        <v>21</v>
      </c>
      <c r="C46" s="38" t="s">
        <v>14</v>
      </c>
      <c r="D46" s="39">
        <v>2</v>
      </c>
      <c r="E46" s="38" t="s">
        <v>17</v>
      </c>
      <c r="F46" s="39">
        <v>6</v>
      </c>
      <c r="G46" s="38" t="s">
        <v>18</v>
      </c>
      <c r="H46" s="39">
        <v>1</v>
      </c>
      <c r="I46" s="38" t="s">
        <v>25</v>
      </c>
      <c r="J46" s="39">
        <v>4</v>
      </c>
      <c r="K46" s="39">
        <v>8</v>
      </c>
      <c r="L46" s="57" t="s">
        <v>7</v>
      </c>
      <c r="M46" s="57"/>
      <c r="N46" s="20" t="s">
        <v>4</v>
      </c>
      <c r="O46" s="63">
        <v>8</v>
      </c>
      <c r="P46" s="11">
        <v>10</v>
      </c>
      <c r="Q46" s="11">
        <v>9</v>
      </c>
      <c r="R46" s="11">
        <v>10</v>
      </c>
      <c r="S46" s="11">
        <v>11</v>
      </c>
      <c r="T46" s="11">
        <v>12</v>
      </c>
      <c r="U46" s="11">
        <v>7</v>
      </c>
      <c r="V46" s="11">
        <v>8</v>
      </c>
      <c r="W46" s="11">
        <v>9</v>
      </c>
      <c r="X46" s="12">
        <v>11</v>
      </c>
      <c r="Y46" s="19"/>
      <c r="Z46" s="19"/>
      <c r="AA46" s="19"/>
      <c r="AB46" s="19"/>
      <c r="AC46" s="19"/>
      <c r="AD46" s="19"/>
      <c r="AE46" s="13"/>
      <c r="AF46" s="13"/>
      <c r="AG46" s="13"/>
      <c r="AH46" s="13"/>
      <c r="AI46" s="13"/>
    </row>
    <row r="47" spans="1:35" x14ac:dyDescent="0.25">
      <c r="A47" s="9">
        <v>43602</v>
      </c>
      <c r="B47" s="38" t="s">
        <v>21</v>
      </c>
      <c r="C47" s="38" t="s">
        <v>14</v>
      </c>
      <c r="D47" s="39">
        <v>2</v>
      </c>
      <c r="E47" s="38" t="s">
        <v>17</v>
      </c>
      <c r="F47" s="39">
        <v>6</v>
      </c>
      <c r="G47" s="38" t="s">
        <v>18</v>
      </c>
      <c r="H47" s="39">
        <v>1</v>
      </c>
      <c r="I47" s="38" t="s">
        <v>25</v>
      </c>
      <c r="J47" s="39">
        <v>4</v>
      </c>
      <c r="K47" s="39">
        <v>8</v>
      </c>
      <c r="L47" s="57" t="s">
        <v>1</v>
      </c>
      <c r="M47" s="57"/>
      <c r="N47" s="20" t="s">
        <v>5</v>
      </c>
      <c r="O47" s="64">
        <v>7</v>
      </c>
      <c r="P47" s="13">
        <v>8</v>
      </c>
      <c r="Q47" s="13">
        <v>8</v>
      </c>
      <c r="R47" s="13">
        <v>8</v>
      </c>
      <c r="S47" s="13">
        <v>10</v>
      </c>
      <c r="T47" s="13">
        <v>8</v>
      </c>
      <c r="U47" s="13">
        <v>8</v>
      </c>
      <c r="V47" s="13">
        <v>6</v>
      </c>
      <c r="W47" s="13">
        <v>8</v>
      </c>
      <c r="X47" s="14">
        <v>9</v>
      </c>
      <c r="Y47" s="19"/>
      <c r="Z47" s="19"/>
      <c r="AA47" s="19"/>
      <c r="AB47" s="19"/>
      <c r="AC47" s="19"/>
      <c r="AD47" s="19"/>
    </row>
    <row r="48" spans="1:35" x14ac:dyDescent="0.25">
      <c r="A48" s="9">
        <v>43603</v>
      </c>
      <c r="B48" s="38" t="s">
        <v>21</v>
      </c>
      <c r="C48" s="38" t="s">
        <v>14</v>
      </c>
      <c r="D48" s="39">
        <v>2</v>
      </c>
      <c r="E48" s="38" t="s">
        <v>17</v>
      </c>
      <c r="F48" s="39">
        <v>6</v>
      </c>
      <c r="G48" s="38" t="s">
        <v>18</v>
      </c>
      <c r="H48" s="39">
        <v>1</v>
      </c>
      <c r="I48" s="38" t="s">
        <v>25</v>
      </c>
      <c r="J48" s="39">
        <v>4</v>
      </c>
      <c r="K48" s="39">
        <v>8</v>
      </c>
      <c r="L48" s="57" t="s">
        <v>2</v>
      </c>
      <c r="M48" s="57"/>
      <c r="N48" s="20" t="s">
        <v>6</v>
      </c>
      <c r="O48" s="64">
        <v>9</v>
      </c>
      <c r="P48" s="13">
        <v>8</v>
      </c>
      <c r="Q48" s="13">
        <v>9</v>
      </c>
      <c r="R48" s="13">
        <v>8</v>
      </c>
      <c r="S48" s="13">
        <v>8</v>
      </c>
      <c r="T48" s="13">
        <v>7</v>
      </c>
      <c r="U48" s="13">
        <v>10</v>
      </c>
      <c r="V48" s="13">
        <v>9</v>
      </c>
      <c r="W48" s="13">
        <v>9</v>
      </c>
      <c r="X48" s="14">
        <v>8</v>
      </c>
      <c r="Y48" s="19"/>
      <c r="Z48" s="19"/>
      <c r="AA48" s="19"/>
      <c r="AB48" s="19"/>
      <c r="AC48" s="19"/>
      <c r="AD48" s="19"/>
    </row>
    <row r="49" spans="1:30" x14ac:dyDescent="0.25">
      <c r="A49" s="9">
        <v>43604</v>
      </c>
      <c r="B49" s="38" t="s">
        <v>21</v>
      </c>
      <c r="C49" s="38" t="s">
        <v>14</v>
      </c>
      <c r="D49" s="39">
        <v>2</v>
      </c>
      <c r="E49" s="38" t="s">
        <v>17</v>
      </c>
      <c r="F49" s="39">
        <v>6</v>
      </c>
      <c r="G49" s="38" t="s">
        <v>18</v>
      </c>
      <c r="H49" s="39">
        <v>1</v>
      </c>
      <c r="I49" s="38" t="s">
        <v>25</v>
      </c>
      <c r="J49" s="39">
        <v>4</v>
      </c>
      <c r="K49" s="39">
        <v>8</v>
      </c>
      <c r="L49" s="57" t="s">
        <v>3</v>
      </c>
      <c r="M49" s="57"/>
      <c r="N49" s="20" t="s">
        <v>7</v>
      </c>
      <c r="O49" s="64">
        <v>12</v>
      </c>
      <c r="P49" s="13">
        <v>11</v>
      </c>
      <c r="Q49" s="13">
        <v>11</v>
      </c>
      <c r="R49" s="13">
        <v>10</v>
      </c>
      <c r="S49" s="13">
        <v>10</v>
      </c>
      <c r="T49" s="13">
        <v>11</v>
      </c>
      <c r="U49" s="13">
        <v>11</v>
      </c>
      <c r="V49" s="13">
        <v>12</v>
      </c>
      <c r="W49" s="13">
        <v>12</v>
      </c>
      <c r="X49" s="14">
        <v>10</v>
      </c>
      <c r="Y49" s="19"/>
      <c r="Z49" s="19"/>
      <c r="AA49" s="19"/>
      <c r="AB49" s="19"/>
      <c r="AC49" s="19"/>
      <c r="AD49" s="19"/>
    </row>
    <row r="50" spans="1:30" x14ac:dyDescent="0.25">
      <c r="A50" s="9">
        <v>43605</v>
      </c>
      <c r="B50" s="38" t="s">
        <v>21</v>
      </c>
      <c r="C50" s="38" t="s">
        <v>14</v>
      </c>
      <c r="D50" s="39">
        <v>2</v>
      </c>
      <c r="E50" s="38" t="s">
        <v>17</v>
      </c>
      <c r="F50" s="39">
        <v>6</v>
      </c>
      <c r="G50" s="38" t="s">
        <v>18</v>
      </c>
      <c r="H50" s="39">
        <v>1</v>
      </c>
      <c r="I50" s="38" t="s">
        <v>25</v>
      </c>
      <c r="J50" s="39">
        <v>4</v>
      </c>
      <c r="K50" s="39">
        <v>8</v>
      </c>
      <c r="L50" s="57" t="s">
        <v>4</v>
      </c>
      <c r="M50" s="57"/>
      <c r="N50" s="20" t="s">
        <v>1</v>
      </c>
      <c r="O50" s="65">
        <v>10</v>
      </c>
      <c r="P50" s="44">
        <v>11</v>
      </c>
      <c r="Q50" s="44">
        <v>11</v>
      </c>
      <c r="R50" s="44">
        <v>10</v>
      </c>
      <c r="S50" s="44">
        <v>12</v>
      </c>
      <c r="T50" s="44">
        <v>12</v>
      </c>
      <c r="U50" s="44">
        <v>10</v>
      </c>
      <c r="V50" s="44">
        <v>10</v>
      </c>
      <c r="W50" s="44">
        <v>12</v>
      </c>
      <c r="X50" s="45">
        <v>12</v>
      </c>
      <c r="Y50" s="19"/>
      <c r="Z50" s="19"/>
      <c r="AA50" s="19"/>
      <c r="AB50" s="19"/>
      <c r="AC50" s="19"/>
      <c r="AD50" s="19"/>
    </row>
    <row r="51" spans="1:30" x14ac:dyDescent="0.25">
      <c r="A51" s="9">
        <v>43606</v>
      </c>
      <c r="B51" s="40" t="s">
        <v>27</v>
      </c>
      <c r="C51" s="40" t="s">
        <v>27</v>
      </c>
      <c r="D51" s="40" t="s">
        <v>27</v>
      </c>
      <c r="E51" s="40" t="s">
        <v>27</v>
      </c>
      <c r="F51" s="40" t="s">
        <v>27</v>
      </c>
      <c r="G51" s="40" t="s">
        <v>27</v>
      </c>
      <c r="H51" s="40" t="s">
        <v>27</v>
      </c>
      <c r="I51" s="40" t="s">
        <v>27</v>
      </c>
      <c r="J51" s="40" t="s">
        <v>27</v>
      </c>
      <c r="K51" s="40" t="s">
        <v>27</v>
      </c>
      <c r="L51" s="57" t="s">
        <v>5</v>
      </c>
      <c r="M51" s="57"/>
      <c r="N51" s="20" t="s">
        <v>2</v>
      </c>
      <c r="O51" s="65">
        <v>12</v>
      </c>
      <c r="P51" s="44">
        <v>11</v>
      </c>
      <c r="Q51" s="44">
        <v>11</v>
      </c>
      <c r="R51" s="44">
        <v>12</v>
      </c>
      <c r="S51" s="44">
        <v>10</v>
      </c>
      <c r="T51" s="44">
        <v>10</v>
      </c>
      <c r="U51" s="44">
        <v>12</v>
      </c>
      <c r="V51" s="44">
        <v>12</v>
      </c>
      <c r="W51" s="44">
        <v>10</v>
      </c>
      <c r="X51" s="45">
        <v>10</v>
      </c>
      <c r="Y51" s="19"/>
      <c r="Z51" s="19"/>
      <c r="AA51" s="19"/>
      <c r="AB51" s="19"/>
      <c r="AC51" s="19"/>
      <c r="AD51" s="19"/>
    </row>
    <row r="52" spans="1:30" x14ac:dyDescent="0.25">
      <c r="A52" s="9">
        <v>43607</v>
      </c>
      <c r="B52" s="39">
        <v>5</v>
      </c>
      <c r="C52" s="39">
        <v>4</v>
      </c>
      <c r="D52" s="38" t="s">
        <v>16</v>
      </c>
      <c r="E52" s="38" t="s">
        <v>19</v>
      </c>
      <c r="F52" s="38" t="s">
        <v>23</v>
      </c>
      <c r="G52" s="39">
        <v>10</v>
      </c>
      <c r="H52" s="38" t="s">
        <v>17</v>
      </c>
      <c r="I52" s="39">
        <v>3</v>
      </c>
      <c r="J52" s="39">
        <v>7</v>
      </c>
      <c r="K52" s="38" t="s">
        <v>15</v>
      </c>
      <c r="L52" s="57" t="s">
        <v>6</v>
      </c>
      <c r="M52" s="57"/>
      <c r="N52" s="20" t="s">
        <v>3</v>
      </c>
      <c r="O52" s="60">
        <v>12</v>
      </c>
      <c r="P52" s="15">
        <v>11</v>
      </c>
      <c r="Q52" s="15">
        <v>11</v>
      </c>
      <c r="R52" s="15">
        <v>12</v>
      </c>
      <c r="S52" s="15">
        <v>9</v>
      </c>
      <c r="T52" s="15">
        <v>10</v>
      </c>
      <c r="U52" s="15">
        <v>12</v>
      </c>
      <c r="V52" s="15">
        <v>13</v>
      </c>
      <c r="W52" s="15">
        <v>10</v>
      </c>
      <c r="X52" s="4">
        <v>10</v>
      </c>
      <c r="Y52" s="19"/>
      <c r="Z52" s="19"/>
      <c r="AA52" s="19"/>
      <c r="AB52" s="19"/>
      <c r="AC52" s="19"/>
      <c r="AD52" s="19"/>
    </row>
    <row r="53" spans="1:30" x14ac:dyDescent="0.25">
      <c r="A53" s="9">
        <v>43608</v>
      </c>
      <c r="B53" s="39">
        <v>5</v>
      </c>
      <c r="C53" s="39">
        <v>4</v>
      </c>
      <c r="D53" s="38" t="s">
        <v>16</v>
      </c>
      <c r="E53" s="38" t="s">
        <v>19</v>
      </c>
      <c r="F53" s="38" t="s">
        <v>23</v>
      </c>
      <c r="G53" s="39">
        <v>10</v>
      </c>
      <c r="H53" s="38" t="s">
        <v>17</v>
      </c>
      <c r="I53" s="39">
        <v>3</v>
      </c>
      <c r="J53" s="39">
        <v>7</v>
      </c>
      <c r="K53" s="38" t="s">
        <v>15</v>
      </c>
      <c r="L53" s="57" t="s">
        <v>7</v>
      </c>
      <c r="M53" s="57"/>
      <c r="N53" s="20" t="s">
        <v>9</v>
      </c>
      <c r="O53" s="57">
        <f>SUM(O46:O52)</f>
        <v>70</v>
      </c>
      <c r="P53" s="37">
        <f t="shared" ref="P53:X53" si="12">SUM(P46:P52)</f>
        <v>70</v>
      </c>
      <c r="Q53" s="37">
        <f t="shared" si="12"/>
        <v>70</v>
      </c>
      <c r="R53" s="37">
        <f t="shared" si="12"/>
        <v>70</v>
      </c>
      <c r="S53" s="37">
        <f t="shared" si="12"/>
        <v>70</v>
      </c>
      <c r="T53" s="37">
        <f t="shared" si="12"/>
        <v>70</v>
      </c>
      <c r="U53" s="37">
        <f t="shared" si="12"/>
        <v>70</v>
      </c>
      <c r="V53" s="37">
        <f t="shared" si="12"/>
        <v>70</v>
      </c>
      <c r="W53" s="37">
        <f t="shared" si="12"/>
        <v>70</v>
      </c>
      <c r="X53" s="37">
        <f t="shared" si="12"/>
        <v>70</v>
      </c>
      <c r="Y53" s="19"/>
      <c r="Z53" s="19"/>
      <c r="AA53" s="19"/>
      <c r="AB53" s="19"/>
      <c r="AC53" s="19"/>
      <c r="AD53" s="19"/>
    </row>
    <row r="54" spans="1:30" x14ac:dyDescent="0.25">
      <c r="A54" s="9">
        <v>43609</v>
      </c>
      <c r="B54" s="39">
        <v>5</v>
      </c>
      <c r="C54" s="39">
        <v>4</v>
      </c>
      <c r="D54" s="38" t="s">
        <v>16</v>
      </c>
      <c r="E54" s="38" t="s">
        <v>19</v>
      </c>
      <c r="F54" s="38" t="s">
        <v>23</v>
      </c>
      <c r="G54" s="39">
        <v>10</v>
      </c>
      <c r="H54" s="38" t="s">
        <v>17</v>
      </c>
      <c r="I54" s="39">
        <v>3</v>
      </c>
      <c r="J54" s="39">
        <v>7</v>
      </c>
      <c r="K54" s="38" t="s">
        <v>15</v>
      </c>
      <c r="L54" s="57" t="s">
        <v>1</v>
      </c>
      <c r="M54" s="57"/>
      <c r="N54" s="57"/>
      <c r="O54" s="57"/>
      <c r="Y54" s="19"/>
      <c r="Z54" s="19"/>
      <c r="AA54" s="19"/>
      <c r="AB54" s="19"/>
      <c r="AC54" s="19"/>
      <c r="AD54" s="19"/>
    </row>
    <row r="55" spans="1:30" x14ac:dyDescent="0.25">
      <c r="A55" s="9">
        <v>43610</v>
      </c>
      <c r="B55" s="39">
        <v>5</v>
      </c>
      <c r="C55" s="39">
        <v>4</v>
      </c>
      <c r="D55" s="38" t="s">
        <v>16</v>
      </c>
      <c r="E55" s="38" t="s">
        <v>19</v>
      </c>
      <c r="F55" s="38" t="s">
        <v>23</v>
      </c>
      <c r="G55" s="39">
        <v>10</v>
      </c>
      <c r="H55" s="38" t="s">
        <v>17</v>
      </c>
      <c r="I55" s="39">
        <v>3</v>
      </c>
      <c r="J55" s="39">
        <v>7</v>
      </c>
      <c r="K55" s="38" t="s">
        <v>15</v>
      </c>
      <c r="L55" s="57" t="s">
        <v>2</v>
      </c>
      <c r="M55" s="57"/>
      <c r="N55" s="62" t="s">
        <v>11</v>
      </c>
      <c r="O55" s="20">
        <v>1</v>
      </c>
      <c r="P55" s="3">
        <v>2</v>
      </c>
      <c r="Q55" s="3">
        <v>3</v>
      </c>
      <c r="R55" s="3">
        <v>4</v>
      </c>
      <c r="S55" s="3">
        <v>5</v>
      </c>
      <c r="T55" s="3">
        <v>6</v>
      </c>
      <c r="U55" s="3">
        <v>7</v>
      </c>
      <c r="V55" s="3">
        <v>8</v>
      </c>
      <c r="W55" s="3">
        <v>9</v>
      </c>
      <c r="X55" s="3">
        <v>10</v>
      </c>
      <c r="Y55" s="52"/>
      <c r="Z55" s="52"/>
      <c r="AA55" s="52"/>
      <c r="AB55" s="52"/>
      <c r="AC55" s="19"/>
      <c r="AD55" s="19"/>
    </row>
    <row r="56" spans="1:30" x14ac:dyDescent="0.25">
      <c r="A56" s="9">
        <v>43611</v>
      </c>
      <c r="B56" s="39">
        <v>5</v>
      </c>
      <c r="C56" s="39">
        <v>4</v>
      </c>
      <c r="D56" s="38" t="s">
        <v>16</v>
      </c>
      <c r="E56" s="38" t="s">
        <v>19</v>
      </c>
      <c r="F56" s="38" t="s">
        <v>23</v>
      </c>
      <c r="G56" s="39">
        <v>10</v>
      </c>
      <c r="H56" s="38" t="s">
        <v>17</v>
      </c>
      <c r="I56" s="39">
        <v>3</v>
      </c>
      <c r="J56" s="39">
        <v>7</v>
      </c>
      <c r="K56" s="38" t="s">
        <v>15</v>
      </c>
      <c r="L56" s="57" t="s">
        <v>3</v>
      </c>
      <c r="M56" s="57"/>
      <c r="N56" s="20" t="s">
        <v>4</v>
      </c>
      <c r="O56" s="63">
        <v>11</v>
      </c>
      <c r="P56" s="11">
        <v>9</v>
      </c>
      <c r="Q56" s="11">
        <v>10</v>
      </c>
      <c r="R56" s="11">
        <v>9</v>
      </c>
      <c r="S56" s="11">
        <v>8</v>
      </c>
      <c r="T56" s="11">
        <v>7</v>
      </c>
      <c r="U56" s="11">
        <v>12</v>
      </c>
      <c r="V56" s="11">
        <v>11</v>
      </c>
      <c r="W56" s="11">
        <v>10</v>
      </c>
      <c r="X56" s="12">
        <v>8</v>
      </c>
      <c r="Y56" s="19"/>
      <c r="Z56" s="19"/>
      <c r="AA56" s="19"/>
      <c r="AB56" s="19"/>
      <c r="AC56" s="19"/>
      <c r="AD56" s="19"/>
    </row>
    <row r="57" spans="1:30" x14ac:dyDescent="0.25">
      <c r="A57" s="9">
        <v>43612</v>
      </c>
      <c r="B57" s="40" t="s">
        <v>27</v>
      </c>
      <c r="C57" s="40" t="s">
        <v>27</v>
      </c>
      <c r="D57" s="40" t="s">
        <v>27</v>
      </c>
      <c r="E57" s="40" t="s">
        <v>27</v>
      </c>
      <c r="F57" s="40" t="s">
        <v>27</v>
      </c>
      <c r="G57" s="40" t="s">
        <v>27</v>
      </c>
      <c r="H57" s="40" t="s">
        <v>27</v>
      </c>
      <c r="I57" s="40" t="s">
        <v>27</v>
      </c>
      <c r="J57" s="40" t="s">
        <v>27</v>
      </c>
      <c r="K57" s="40" t="s">
        <v>27</v>
      </c>
      <c r="L57" s="57" t="s">
        <v>4</v>
      </c>
      <c r="M57" s="57"/>
      <c r="N57" s="20" t="s">
        <v>5</v>
      </c>
      <c r="O57" s="64">
        <v>9</v>
      </c>
      <c r="P57" s="13">
        <v>8</v>
      </c>
      <c r="Q57" s="13">
        <v>8</v>
      </c>
      <c r="R57" s="13">
        <v>8</v>
      </c>
      <c r="S57" s="13">
        <v>6</v>
      </c>
      <c r="T57" s="13">
        <v>8</v>
      </c>
      <c r="U57" s="13">
        <v>8</v>
      </c>
      <c r="V57" s="13">
        <v>10</v>
      </c>
      <c r="W57" s="13">
        <v>8</v>
      </c>
      <c r="X57" s="14">
        <v>7</v>
      </c>
      <c r="Y57" s="19"/>
      <c r="Z57" s="19"/>
      <c r="AA57" s="19"/>
      <c r="AB57" s="19"/>
      <c r="AC57" s="19"/>
      <c r="AD57" s="19"/>
    </row>
    <row r="58" spans="1:30" x14ac:dyDescent="0.25">
      <c r="A58" s="9">
        <v>43613</v>
      </c>
      <c r="B58" s="38" t="s">
        <v>20</v>
      </c>
      <c r="C58" s="38" t="s">
        <v>18</v>
      </c>
      <c r="D58" s="39">
        <v>6</v>
      </c>
      <c r="E58" s="39">
        <v>1</v>
      </c>
      <c r="F58" s="39">
        <v>2</v>
      </c>
      <c r="G58" s="38" t="s">
        <v>14</v>
      </c>
      <c r="H58" s="39">
        <v>8</v>
      </c>
      <c r="I58" s="38" t="s">
        <v>21</v>
      </c>
      <c r="J58" s="38" t="s">
        <v>25</v>
      </c>
      <c r="K58" s="39">
        <v>9</v>
      </c>
      <c r="L58" s="57" t="s">
        <v>5</v>
      </c>
      <c r="M58" s="57"/>
      <c r="N58" s="20" t="s">
        <v>6</v>
      </c>
      <c r="O58" s="64">
        <v>8</v>
      </c>
      <c r="P58" s="13">
        <v>9</v>
      </c>
      <c r="Q58" s="13">
        <v>8</v>
      </c>
      <c r="R58" s="13">
        <v>9</v>
      </c>
      <c r="S58" s="13">
        <v>9</v>
      </c>
      <c r="T58" s="13">
        <v>10</v>
      </c>
      <c r="U58" s="13">
        <v>7</v>
      </c>
      <c r="V58" s="13">
        <v>8</v>
      </c>
      <c r="W58" s="13">
        <v>8</v>
      </c>
      <c r="X58" s="14">
        <v>9</v>
      </c>
      <c r="Y58" s="19"/>
      <c r="Z58" s="19"/>
      <c r="AA58" s="19"/>
      <c r="AB58" s="19"/>
      <c r="AC58" s="19"/>
      <c r="AD58" s="19"/>
    </row>
    <row r="59" spans="1:30" x14ac:dyDescent="0.25">
      <c r="A59" s="9">
        <v>43614</v>
      </c>
      <c r="B59" s="38" t="s">
        <v>20</v>
      </c>
      <c r="C59" s="38" t="s">
        <v>18</v>
      </c>
      <c r="D59" s="39">
        <v>6</v>
      </c>
      <c r="E59" s="39">
        <v>1</v>
      </c>
      <c r="F59" s="39">
        <v>2</v>
      </c>
      <c r="G59" s="38" t="s">
        <v>14</v>
      </c>
      <c r="H59" s="39">
        <v>8</v>
      </c>
      <c r="I59" s="38" t="s">
        <v>21</v>
      </c>
      <c r="J59" s="38" t="s">
        <v>25</v>
      </c>
      <c r="K59" s="39">
        <v>9</v>
      </c>
      <c r="L59" s="57" t="s">
        <v>6</v>
      </c>
      <c r="M59" s="57"/>
      <c r="N59" s="20" t="s">
        <v>7</v>
      </c>
      <c r="O59" s="64">
        <v>10</v>
      </c>
      <c r="P59" s="13">
        <v>11</v>
      </c>
      <c r="Q59" s="13">
        <v>11</v>
      </c>
      <c r="R59" s="13">
        <v>12</v>
      </c>
      <c r="S59" s="13">
        <v>12</v>
      </c>
      <c r="T59" s="13">
        <v>11</v>
      </c>
      <c r="U59" s="13">
        <v>11</v>
      </c>
      <c r="V59" s="13">
        <v>10</v>
      </c>
      <c r="W59" s="13">
        <v>10</v>
      </c>
      <c r="X59" s="14">
        <v>12</v>
      </c>
      <c r="Y59" s="19"/>
      <c r="Z59" s="19"/>
      <c r="AA59" s="19"/>
      <c r="AB59" s="19"/>
      <c r="AC59" s="19"/>
      <c r="AD59" s="19"/>
    </row>
    <row r="60" spans="1:30" x14ac:dyDescent="0.25">
      <c r="A60" s="9">
        <v>43615</v>
      </c>
      <c r="B60" s="38" t="s">
        <v>20</v>
      </c>
      <c r="C60" s="38" t="s">
        <v>18</v>
      </c>
      <c r="D60" s="39">
        <v>6</v>
      </c>
      <c r="E60" s="39">
        <v>1</v>
      </c>
      <c r="F60" s="39">
        <v>2</v>
      </c>
      <c r="G60" s="38" t="s">
        <v>14</v>
      </c>
      <c r="H60" s="39">
        <v>8</v>
      </c>
      <c r="I60" s="38" t="s">
        <v>21</v>
      </c>
      <c r="J60" s="38" t="s">
        <v>25</v>
      </c>
      <c r="K60" s="39">
        <v>9</v>
      </c>
      <c r="L60" s="57" t="s">
        <v>7</v>
      </c>
      <c r="M60" s="57"/>
      <c r="N60" s="20" t="s">
        <v>1</v>
      </c>
      <c r="O60" s="66">
        <v>12</v>
      </c>
      <c r="P60" s="42">
        <v>11</v>
      </c>
      <c r="Q60" s="42">
        <v>11</v>
      </c>
      <c r="R60" s="42">
        <v>12</v>
      </c>
      <c r="S60" s="42">
        <v>10</v>
      </c>
      <c r="T60" s="42">
        <v>10</v>
      </c>
      <c r="U60" s="42">
        <v>12</v>
      </c>
      <c r="V60" s="42">
        <v>12</v>
      </c>
      <c r="W60" s="42">
        <v>10</v>
      </c>
      <c r="X60" s="43">
        <v>10</v>
      </c>
      <c r="Y60" s="19"/>
      <c r="Z60" s="19"/>
      <c r="AA60" s="19"/>
      <c r="AB60" s="19"/>
      <c r="AC60" s="19"/>
      <c r="AD60" s="19"/>
    </row>
    <row r="61" spans="1:30" x14ac:dyDescent="0.25">
      <c r="A61" s="9">
        <v>43616</v>
      </c>
      <c r="B61" s="38" t="s">
        <v>20</v>
      </c>
      <c r="C61" s="38" t="s">
        <v>18</v>
      </c>
      <c r="D61" s="39">
        <v>6</v>
      </c>
      <c r="E61" s="39">
        <v>1</v>
      </c>
      <c r="F61" s="39">
        <v>2</v>
      </c>
      <c r="G61" s="38" t="s">
        <v>14</v>
      </c>
      <c r="H61" s="39">
        <v>8</v>
      </c>
      <c r="I61" s="38" t="s">
        <v>21</v>
      </c>
      <c r="J61" s="38" t="s">
        <v>25</v>
      </c>
      <c r="K61" s="39">
        <v>9</v>
      </c>
      <c r="L61" s="57" t="s">
        <v>1</v>
      </c>
      <c r="M61" s="57"/>
      <c r="N61" s="20" t="s">
        <v>2</v>
      </c>
      <c r="O61" s="66">
        <v>10</v>
      </c>
      <c r="P61" s="42">
        <v>11</v>
      </c>
      <c r="Q61" s="42">
        <v>11</v>
      </c>
      <c r="R61" s="42">
        <v>10</v>
      </c>
      <c r="S61" s="42">
        <v>12</v>
      </c>
      <c r="T61" s="42">
        <v>12</v>
      </c>
      <c r="U61" s="42">
        <v>10</v>
      </c>
      <c r="V61" s="42">
        <v>10</v>
      </c>
      <c r="W61" s="42">
        <v>12</v>
      </c>
      <c r="X61" s="43">
        <v>12</v>
      </c>
      <c r="Y61" s="19"/>
      <c r="Z61" s="19"/>
      <c r="AA61" s="19"/>
      <c r="AB61" s="19"/>
      <c r="AC61" s="19"/>
      <c r="AD61" s="19"/>
    </row>
    <row r="62" spans="1:30" x14ac:dyDescent="0.25">
      <c r="A62" s="9">
        <v>43617</v>
      </c>
      <c r="B62" s="38" t="s">
        <v>20</v>
      </c>
      <c r="C62" s="38" t="s">
        <v>18</v>
      </c>
      <c r="D62" s="39">
        <v>6</v>
      </c>
      <c r="E62" s="39">
        <v>1</v>
      </c>
      <c r="F62" s="39">
        <v>2</v>
      </c>
      <c r="G62" s="38" t="s">
        <v>14</v>
      </c>
      <c r="H62" s="39">
        <v>8</v>
      </c>
      <c r="I62" s="38" t="s">
        <v>21</v>
      </c>
      <c r="J62" s="38" t="s">
        <v>25</v>
      </c>
      <c r="K62" s="39">
        <v>9</v>
      </c>
      <c r="L62" s="57" t="s">
        <v>2</v>
      </c>
      <c r="M62" s="57"/>
      <c r="N62" s="20" t="s">
        <v>3</v>
      </c>
      <c r="O62" s="60">
        <v>10</v>
      </c>
      <c r="P62" s="15">
        <v>11</v>
      </c>
      <c r="Q62" s="15">
        <v>11</v>
      </c>
      <c r="R62" s="15">
        <v>10</v>
      </c>
      <c r="S62" s="15">
        <v>13</v>
      </c>
      <c r="T62" s="15">
        <v>12</v>
      </c>
      <c r="U62" s="15">
        <v>10</v>
      </c>
      <c r="V62" s="15">
        <v>9</v>
      </c>
      <c r="W62" s="15">
        <v>12</v>
      </c>
      <c r="X62" s="4">
        <v>12</v>
      </c>
      <c r="Y62" s="19"/>
      <c r="Z62" s="19"/>
      <c r="AA62" s="19"/>
      <c r="AB62" s="19"/>
      <c r="AC62" s="19"/>
      <c r="AD62" s="19"/>
    </row>
    <row r="63" spans="1:30" x14ac:dyDescent="0.25">
      <c r="A63" s="9">
        <v>43618</v>
      </c>
      <c r="B63" s="39">
        <v>6</v>
      </c>
      <c r="C63" s="39">
        <v>3</v>
      </c>
      <c r="D63" s="38" t="s">
        <v>19</v>
      </c>
      <c r="E63" s="38" t="s">
        <v>21</v>
      </c>
      <c r="F63" s="38" t="s">
        <v>17</v>
      </c>
      <c r="G63" s="38" t="s">
        <v>23</v>
      </c>
      <c r="H63" s="39">
        <v>4</v>
      </c>
      <c r="I63" s="39">
        <v>10</v>
      </c>
      <c r="J63" s="39">
        <v>5</v>
      </c>
      <c r="K63" s="38" t="s">
        <v>16</v>
      </c>
      <c r="L63" s="57" t="s">
        <v>3</v>
      </c>
      <c r="M63" s="57"/>
      <c r="N63" s="20" t="s">
        <v>9</v>
      </c>
      <c r="O63" s="57">
        <f>SUM(O56:O62)</f>
        <v>70</v>
      </c>
      <c r="P63" s="37">
        <f t="shared" ref="P63:X63" si="13">SUM(P56:P62)</f>
        <v>70</v>
      </c>
      <c r="Q63" s="37">
        <f t="shared" si="13"/>
        <v>70</v>
      </c>
      <c r="R63" s="37">
        <f t="shared" si="13"/>
        <v>70</v>
      </c>
      <c r="S63" s="37">
        <f t="shared" si="13"/>
        <v>70</v>
      </c>
      <c r="T63" s="37">
        <f t="shared" si="13"/>
        <v>70</v>
      </c>
      <c r="U63" s="37">
        <f t="shared" si="13"/>
        <v>70</v>
      </c>
      <c r="V63" s="37">
        <f t="shared" si="13"/>
        <v>70</v>
      </c>
      <c r="W63" s="37">
        <f t="shared" si="13"/>
        <v>70</v>
      </c>
      <c r="X63" s="37">
        <f t="shared" si="13"/>
        <v>70</v>
      </c>
      <c r="Y63" s="19"/>
      <c r="Z63" s="19"/>
      <c r="AA63" s="19"/>
      <c r="AB63" s="19"/>
      <c r="AC63" s="19"/>
      <c r="AD63" s="19"/>
    </row>
    <row r="64" spans="1:30" x14ac:dyDescent="0.25">
      <c r="A64" s="9">
        <v>43619</v>
      </c>
      <c r="B64" s="39">
        <v>6</v>
      </c>
      <c r="C64" s="39">
        <v>3</v>
      </c>
      <c r="D64" s="38" t="s">
        <v>19</v>
      </c>
      <c r="E64" s="38" t="s">
        <v>21</v>
      </c>
      <c r="F64" s="38" t="s">
        <v>17</v>
      </c>
      <c r="G64" s="38" t="s">
        <v>23</v>
      </c>
      <c r="H64" s="39">
        <v>4</v>
      </c>
      <c r="I64" s="39">
        <v>10</v>
      </c>
      <c r="J64" s="39">
        <v>5</v>
      </c>
      <c r="K64" s="38" t="s">
        <v>16</v>
      </c>
      <c r="L64" s="57" t="s">
        <v>4</v>
      </c>
      <c r="M64" s="57"/>
      <c r="N64" s="57"/>
      <c r="O64" s="57"/>
      <c r="Y64" s="19"/>
      <c r="Z64" s="19"/>
      <c r="AA64" s="19"/>
      <c r="AB64" s="19"/>
      <c r="AC64" s="19"/>
      <c r="AD64" s="19"/>
    </row>
    <row r="65" spans="1:30" x14ac:dyDescent="0.25">
      <c r="A65" s="9">
        <v>43620</v>
      </c>
      <c r="B65" s="39">
        <v>6</v>
      </c>
      <c r="C65" s="39">
        <v>3</v>
      </c>
      <c r="D65" s="38" t="s">
        <v>19</v>
      </c>
      <c r="E65" s="38" t="s">
        <v>21</v>
      </c>
      <c r="F65" s="38" t="s">
        <v>17</v>
      </c>
      <c r="G65" s="38" t="s">
        <v>23</v>
      </c>
      <c r="H65" s="39">
        <v>4</v>
      </c>
      <c r="I65" s="39">
        <v>10</v>
      </c>
      <c r="J65" s="39">
        <v>5</v>
      </c>
      <c r="K65" s="38" t="s">
        <v>16</v>
      </c>
      <c r="L65" s="57" t="s">
        <v>5</v>
      </c>
      <c r="M65" s="57"/>
      <c r="N65" s="62" t="s">
        <v>12</v>
      </c>
      <c r="O65" s="20">
        <v>1</v>
      </c>
      <c r="P65" s="3">
        <v>2</v>
      </c>
      <c r="Q65" s="3">
        <v>3</v>
      </c>
      <c r="R65" s="3">
        <v>4</v>
      </c>
      <c r="S65" s="3">
        <v>5</v>
      </c>
      <c r="T65" s="3">
        <v>6</v>
      </c>
      <c r="U65" s="3">
        <v>7</v>
      </c>
      <c r="V65" s="3">
        <v>8</v>
      </c>
      <c r="W65" s="3">
        <v>9</v>
      </c>
      <c r="X65" s="3">
        <v>10</v>
      </c>
      <c r="Y65" s="52"/>
      <c r="Z65" s="52"/>
      <c r="AA65" s="52"/>
      <c r="AB65" s="52"/>
      <c r="AC65" s="19"/>
      <c r="AD65" s="19"/>
    </row>
    <row r="66" spans="1:30" x14ac:dyDescent="0.25">
      <c r="A66" s="9">
        <v>43621</v>
      </c>
      <c r="B66" s="39">
        <v>6</v>
      </c>
      <c r="C66" s="41">
        <v>3</v>
      </c>
      <c r="D66" s="38" t="s">
        <v>19</v>
      </c>
      <c r="E66" s="76" t="s">
        <v>21</v>
      </c>
      <c r="F66" s="38" t="s">
        <v>17</v>
      </c>
      <c r="G66" s="76" t="s">
        <v>23</v>
      </c>
      <c r="H66" s="39">
        <v>4</v>
      </c>
      <c r="I66" s="41">
        <v>10</v>
      </c>
      <c r="J66" s="39">
        <v>5</v>
      </c>
      <c r="K66" s="38" t="s">
        <v>16</v>
      </c>
      <c r="L66" s="57" t="s">
        <v>6</v>
      </c>
      <c r="M66" s="57"/>
      <c r="N66" s="20" t="s">
        <v>4</v>
      </c>
      <c r="O66" s="63">
        <v>19</v>
      </c>
      <c r="P66" s="11">
        <v>19</v>
      </c>
      <c r="Q66" s="11">
        <v>19</v>
      </c>
      <c r="R66" s="11">
        <v>19</v>
      </c>
      <c r="S66" s="11">
        <v>19</v>
      </c>
      <c r="T66" s="11">
        <v>19</v>
      </c>
      <c r="U66" s="11">
        <v>19</v>
      </c>
      <c r="V66" s="11">
        <v>19</v>
      </c>
      <c r="W66" s="11">
        <v>19</v>
      </c>
      <c r="X66" s="12">
        <v>19</v>
      </c>
      <c r="Y66" s="19"/>
      <c r="Z66" s="19"/>
      <c r="AA66" s="19"/>
      <c r="AB66" s="19"/>
      <c r="AC66" s="19"/>
      <c r="AD66" s="19"/>
    </row>
    <row r="67" spans="1:30" x14ac:dyDescent="0.25">
      <c r="A67" s="9">
        <v>43622</v>
      </c>
      <c r="B67" s="39">
        <v>6</v>
      </c>
      <c r="C67" s="39">
        <v>3</v>
      </c>
      <c r="D67" s="38" t="s">
        <v>19</v>
      </c>
      <c r="E67" s="76" t="s">
        <v>21</v>
      </c>
      <c r="F67" s="38" t="s">
        <v>17</v>
      </c>
      <c r="G67" s="38" t="s">
        <v>23</v>
      </c>
      <c r="H67" s="39">
        <v>4</v>
      </c>
      <c r="I67" s="39">
        <v>10</v>
      </c>
      <c r="J67" s="39">
        <v>5</v>
      </c>
      <c r="K67" s="38" t="s">
        <v>16</v>
      </c>
      <c r="L67" s="57" t="s">
        <v>7</v>
      </c>
      <c r="M67" s="57"/>
      <c r="N67" s="20" t="s">
        <v>5</v>
      </c>
      <c r="O67" s="64">
        <v>16</v>
      </c>
      <c r="P67" s="13">
        <v>16</v>
      </c>
      <c r="Q67" s="13">
        <v>16</v>
      </c>
      <c r="R67" s="13">
        <v>16</v>
      </c>
      <c r="S67" s="13">
        <v>16</v>
      </c>
      <c r="T67" s="13">
        <v>16</v>
      </c>
      <c r="U67" s="13">
        <v>16</v>
      </c>
      <c r="V67" s="13">
        <v>16</v>
      </c>
      <c r="W67" s="13">
        <v>16</v>
      </c>
      <c r="X67" s="14">
        <v>16</v>
      </c>
      <c r="Y67" s="19"/>
      <c r="Z67" s="19"/>
      <c r="AA67" s="19"/>
      <c r="AB67" s="19"/>
      <c r="AC67" s="19"/>
      <c r="AD67" s="19"/>
    </row>
    <row r="68" spans="1:30" x14ac:dyDescent="0.25">
      <c r="A68" s="9">
        <v>43623</v>
      </c>
      <c r="B68" s="38" t="s">
        <v>14</v>
      </c>
      <c r="C68" s="38" t="s">
        <v>20</v>
      </c>
      <c r="D68" s="39">
        <v>1</v>
      </c>
      <c r="E68" s="39">
        <v>2</v>
      </c>
      <c r="F68" s="39">
        <v>8</v>
      </c>
      <c r="G68" s="39">
        <v>9</v>
      </c>
      <c r="H68" s="38" t="s">
        <v>25</v>
      </c>
      <c r="I68" s="38" t="s">
        <v>18</v>
      </c>
      <c r="J68" s="38" t="s">
        <v>15</v>
      </c>
      <c r="K68" s="39">
        <v>7</v>
      </c>
      <c r="L68" s="57" t="s">
        <v>1</v>
      </c>
      <c r="M68" s="57"/>
      <c r="N68" s="20" t="s">
        <v>6</v>
      </c>
      <c r="O68" s="64">
        <v>17</v>
      </c>
      <c r="P68" s="13">
        <v>17</v>
      </c>
      <c r="Q68" s="13">
        <v>17</v>
      </c>
      <c r="R68" s="13">
        <v>17</v>
      </c>
      <c r="S68" s="13">
        <v>17</v>
      </c>
      <c r="T68" s="13">
        <v>17</v>
      </c>
      <c r="U68" s="13">
        <v>17</v>
      </c>
      <c r="V68" s="13">
        <v>17</v>
      </c>
      <c r="W68" s="13">
        <v>17</v>
      </c>
      <c r="X68" s="14">
        <v>17</v>
      </c>
      <c r="Y68" s="19"/>
      <c r="Z68" s="19"/>
      <c r="AA68" s="19"/>
      <c r="AB68" s="19"/>
    </row>
    <row r="69" spans="1:30" x14ac:dyDescent="0.25">
      <c r="A69" s="9">
        <v>43624</v>
      </c>
      <c r="B69" s="38" t="s">
        <v>14</v>
      </c>
      <c r="C69" s="38" t="s">
        <v>20</v>
      </c>
      <c r="D69" s="39">
        <v>1</v>
      </c>
      <c r="E69" s="39">
        <v>2</v>
      </c>
      <c r="F69" s="39">
        <v>8</v>
      </c>
      <c r="G69" s="39">
        <v>9</v>
      </c>
      <c r="H69" s="38" t="s">
        <v>25</v>
      </c>
      <c r="I69" s="38" t="s">
        <v>18</v>
      </c>
      <c r="J69" s="38" t="s">
        <v>15</v>
      </c>
      <c r="K69" s="39">
        <v>7</v>
      </c>
      <c r="L69" s="57" t="s">
        <v>2</v>
      </c>
      <c r="M69" s="57"/>
      <c r="N69" s="20" t="s">
        <v>7</v>
      </c>
      <c r="O69" s="64">
        <v>22</v>
      </c>
      <c r="P69" s="13">
        <v>22</v>
      </c>
      <c r="Q69" s="13">
        <v>22</v>
      </c>
      <c r="R69" s="13">
        <v>22</v>
      </c>
      <c r="S69" s="13">
        <v>22</v>
      </c>
      <c r="T69" s="13">
        <v>22</v>
      </c>
      <c r="U69" s="13">
        <v>22</v>
      </c>
      <c r="V69" s="13">
        <v>22</v>
      </c>
      <c r="W69" s="13">
        <v>22</v>
      </c>
      <c r="X69" s="14">
        <v>22</v>
      </c>
      <c r="Y69" s="19"/>
      <c r="Z69" s="19"/>
      <c r="AA69" s="19"/>
      <c r="AB69" s="19"/>
    </row>
    <row r="70" spans="1:30" x14ac:dyDescent="0.25">
      <c r="A70" s="9">
        <v>43625</v>
      </c>
      <c r="B70" s="38" t="s">
        <v>14</v>
      </c>
      <c r="C70" s="38" t="s">
        <v>20</v>
      </c>
      <c r="D70" s="39">
        <v>1</v>
      </c>
      <c r="E70" s="39">
        <v>2</v>
      </c>
      <c r="F70" s="39">
        <v>8</v>
      </c>
      <c r="G70" s="39">
        <v>9</v>
      </c>
      <c r="H70" s="38" t="s">
        <v>25</v>
      </c>
      <c r="I70" s="38" t="s">
        <v>18</v>
      </c>
      <c r="J70" s="38" t="s">
        <v>15</v>
      </c>
      <c r="K70" s="39">
        <v>7</v>
      </c>
      <c r="L70" s="57" t="s">
        <v>3</v>
      </c>
      <c r="M70" s="57"/>
      <c r="N70" s="20" t="s">
        <v>1</v>
      </c>
      <c r="O70" s="64">
        <v>22</v>
      </c>
      <c r="P70" s="13">
        <v>22</v>
      </c>
      <c r="Q70" s="13">
        <v>22</v>
      </c>
      <c r="R70" s="13">
        <v>22</v>
      </c>
      <c r="S70" s="13">
        <v>22</v>
      </c>
      <c r="T70" s="13">
        <v>22</v>
      </c>
      <c r="U70" s="13">
        <v>22</v>
      </c>
      <c r="V70" s="13">
        <v>22</v>
      </c>
      <c r="W70" s="13">
        <v>22</v>
      </c>
      <c r="X70" s="14">
        <v>22</v>
      </c>
      <c r="Y70" s="19"/>
      <c r="Z70" s="19"/>
      <c r="AA70" s="19"/>
      <c r="AB70" s="19"/>
    </row>
    <row r="71" spans="1:30" x14ac:dyDescent="0.25">
      <c r="A71" s="9">
        <v>43626</v>
      </c>
      <c r="B71" s="38" t="s">
        <v>14</v>
      </c>
      <c r="C71" s="38" t="s">
        <v>20</v>
      </c>
      <c r="D71" s="39">
        <v>1</v>
      </c>
      <c r="E71" s="39">
        <v>2</v>
      </c>
      <c r="F71" s="39">
        <v>8</v>
      </c>
      <c r="G71" s="39">
        <v>9</v>
      </c>
      <c r="H71" s="38" t="s">
        <v>25</v>
      </c>
      <c r="I71" s="38" t="s">
        <v>18</v>
      </c>
      <c r="J71" s="38" t="s">
        <v>15</v>
      </c>
      <c r="K71" s="39">
        <v>7</v>
      </c>
      <c r="L71" s="57" t="s">
        <v>4</v>
      </c>
      <c r="M71" s="57"/>
      <c r="N71" s="20" t="s">
        <v>2</v>
      </c>
      <c r="O71" s="64">
        <v>22</v>
      </c>
      <c r="P71" s="13">
        <v>22</v>
      </c>
      <c r="Q71" s="13">
        <v>22</v>
      </c>
      <c r="R71" s="13">
        <v>22</v>
      </c>
      <c r="S71" s="13">
        <v>22</v>
      </c>
      <c r="T71" s="13">
        <v>22</v>
      </c>
      <c r="U71" s="13">
        <v>22</v>
      </c>
      <c r="V71" s="13">
        <v>22</v>
      </c>
      <c r="W71" s="13">
        <v>22</v>
      </c>
      <c r="X71" s="14">
        <v>22</v>
      </c>
      <c r="Y71" s="19"/>
      <c r="Z71" s="19"/>
      <c r="AA71" s="19"/>
      <c r="AB71" s="19"/>
    </row>
    <row r="72" spans="1:30" x14ac:dyDescent="0.25">
      <c r="A72" s="9">
        <v>43627</v>
      </c>
      <c r="B72" s="38" t="s">
        <v>14</v>
      </c>
      <c r="C72" s="38" t="s">
        <v>20</v>
      </c>
      <c r="D72" s="39">
        <v>1</v>
      </c>
      <c r="E72" s="39">
        <v>2</v>
      </c>
      <c r="F72" s="39">
        <v>8</v>
      </c>
      <c r="G72" s="39">
        <v>9</v>
      </c>
      <c r="H72" s="38" t="s">
        <v>25</v>
      </c>
      <c r="I72" s="38" t="s">
        <v>18</v>
      </c>
      <c r="J72" s="38" t="s">
        <v>15</v>
      </c>
      <c r="K72" s="39">
        <v>7</v>
      </c>
      <c r="L72" s="57" t="s">
        <v>5</v>
      </c>
      <c r="M72" s="57"/>
      <c r="N72" s="20" t="s">
        <v>3</v>
      </c>
      <c r="O72" s="60">
        <v>22</v>
      </c>
      <c r="P72" s="15">
        <v>22</v>
      </c>
      <c r="Q72" s="15">
        <v>22</v>
      </c>
      <c r="R72" s="15">
        <v>22</v>
      </c>
      <c r="S72" s="15">
        <v>22</v>
      </c>
      <c r="T72" s="15">
        <v>22</v>
      </c>
      <c r="U72" s="15">
        <v>22</v>
      </c>
      <c r="V72" s="15">
        <v>22</v>
      </c>
      <c r="W72" s="15">
        <v>22</v>
      </c>
      <c r="X72" s="4">
        <v>22</v>
      </c>
      <c r="Y72" s="19"/>
      <c r="Z72" s="19"/>
      <c r="AA72" s="19"/>
      <c r="AB72" s="19"/>
    </row>
    <row r="73" spans="1:30" x14ac:dyDescent="0.25">
      <c r="A73" s="9">
        <v>43628</v>
      </c>
      <c r="B73" s="39">
        <v>5</v>
      </c>
      <c r="C73" s="38" t="s">
        <v>21</v>
      </c>
      <c r="D73" s="39">
        <v>4</v>
      </c>
      <c r="E73" s="38" t="s">
        <v>14</v>
      </c>
      <c r="F73" s="38" t="s">
        <v>23</v>
      </c>
      <c r="G73" s="38" t="s">
        <v>16</v>
      </c>
      <c r="H73" s="39">
        <v>2</v>
      </c>
      <c r="I73" s="39">
        <v>6</v>
      </c>
      <c r="J73" s="39">
        <v>10</v>
      </c>
      <c r="K73" s="38" t="s">
        <v>17</v>
      </c>
      <c r="L73" s="57" t="s">
        <v>6</v>
      </c>
      <c r="M73" s="57"/>
      <c r="N73" s="20" t="s">
        <v>9</v>
      </c>
      <c r="O73" s="57">
        <f>SUM(O66:O72)</f>
        <v>140</v>
      </c>
      <c r="P73">
        <f t="shared" ref="P73:X73" si="14">SUM(P66:P72)</f>
        <v>140</v>
      </c>
      <c r="Q73">
        <f t="shared" si="14"/>
        <v>140</v>
      </c>
      <c r="R73">
        <f t="shared" si="14"/>
        <v>140</v>
      </c>
      <c r="S73">
        <f t="shared" si="14"/>
        <v>140</v>
      </c>
      <c r="T73">
        <f t="shared" si="14"/>
        <v>140</v>
      </c>
      <c r="U73">
        <f t="shared" si="14"/>
        <v>140</v>
      </c>
      <c r="V73">
        <f t="shared" si="14"/>
        <v>140</v>
      </c>
      <c r="W73">
        <f t="shared" si="14"/>
        <v>140</v>
      </c>
      <c r="X73">
        <f t="shared" si="14"/>
        <v>140</v>
      </c>
      <c r="Y73" s="19"/>
      <c r="Z73" s="19"/>
      <c r="AA73" s="19"/>
      <c r="AB73" s="19"/>
    </row>
    <row r="74" spans="1:30" x14ac:dyDescent="0.25">
      <c r="A74" s="9">
        <v>43629</v>
      </c>
      <c r="B74" s="39">
        <v>5</v>
      </c>
      <c r="C74" s="38" t="s">
        <v>21</v>
      </c>
      <c r="D74" s="39">
        <v>4</v>
      </c>
      <c r="E74" s="38" t="s">
        <v>14</v>
      </c>
      <c r="F74" s="38" t="s">
        <v>23</v>
      </c>
      <c r="G74" s="38" t="s">
        <v>16</v>
      </c>
      <c r="H74" s="39">
        <v>2</v>
      </c>
      <c r="I74" s="39">
        <v>6</v>
      </c>
      <c r="J74" s="39">
        <v>10</v>
      </c>
      <c r="K74" s="38" t="s">
        <v>17</v>
      </c>
      <c r="L74" s="57" t="s">
        <v>7</v>
      </c>
      <c r="M74" s="57"/>
      <c r="N74" s="57"/>
      <c r="O74" s="57"/>
      <c r="Y74" s="19"/>
      <c r="Z74" s="19"/>
      <c r="AA74" s="19"/>
      <c r="AB74" s="19"/>
    </row>
    <row r="75" spans="1:30" x14ac:dyDescent="0.25">
      <c r="A75" s="9">
        <v>43630</v>
      </c>
      <c r="B75" s="39">
        <v>5</v>
      </c>
      <c r="C75" s="38" t="s">
        <v>21</v>
      </c>
      <c r="D75" s="39">
        <v>4</v>
      </c>
      <c r="E75" s="38" t="s">
        <v>14</v>
      </c>
      <c r="F75" s="38" t="s">
        <v>23</v>
      </c>
      <c r="G75" s="38" t="s">
        <v>16</v>
      </c>
      <c r="H75" s="39">
        <v>2</v>
      </c>
      <c r="I75" s="39">
        <v>6</v>
      </c>
      <c r="J75" s="39">
        <v>10</v>
      </c>
      <c r="K75" s="38" t="s">
        <v>17</v>
      </c>
      <c r="L75" s="57" t="s">
        <v>1</v>
      </c>
      <c r="M75" s="57"/>
      <c r="N75" s="62" t="s">
        <v>35</v>
      </c>
      <c r="O75" s="20">
        <v>1</v>
      </c>
      <c r="P75" s="3">
        <v>2</v>
      </c>
      <c r="Q75" s="3">
        <v>3</v>
      </c>
      <c r="R75" s="3">
        <v>4</v>
      </c>
      <c r="S75" s="3">
        <v>5</v>
      </c>
      <c r="T75" s="3">
        <v>6</v>
      </c>
      <c r="U75" s="3">
        <v>7</v>
      </c>
      <c r="V75" s="3">
        <v>8</v>
      </c>
      <c r="W75" s="3">
        <v>9</v>
      </c>
      <c r="X75" s="3">
        <v>10</v>
      </c>
      <c r="Y75" s="52"/>
      <c r="Z75" s="52"/>
      <c r="AA75" s="52"/>
      <c r="AB75" s="52"/>
    </row>
    <row r="76" spans="1:30" x14ac:dyDescent="0.25">
      <c r="A76" s="9">
        <v>43631</v>
      </c>
      <c r="B76" s="39">
        <v>5</v>
      </c>
      <c r="C76" s="38" t="s">
        <v>21</v>
      </c>
      <c r="D76" s="39">
        <v>4</v>
      </c>
      <c r="E76" s="38" t="s">
        <v>14</v>
      </c>
      <c r="F76" s="38" t="s">
        <v>23</v>
      </c>
      <c r="G76" s="38" t="s">
        <v>16</v>
      </c>
      <c r="H76" s="39">
        <v>2</v>
      </c>
      <c r="I76" s="39">
        <v>6</v>
      </c>
      <c r="J76" s="39">
        <v>10</v>
      </c>
      <c r="K76" s="38" t="s">
        <v>17</v>
      </c>
      <c r="L76" s="57" t="s">
        <v>2</v>
      </c>
      <c r="M76" s="57"/>
      <c r="N76" s="20" t="s">
        <v>4</v>
      </c>
      <c r="O76" s="63">
        <v>4</v>
      </c>
      <c r="P76" s="11">
        <v>6</v>
      </c>
      <c r="Q76" s="11">
        <v>3</v>
      </c>
      <c r="R76" s="11">
        <v>5</v>
      </c>
      <c r="S76" s="11">
        <v>5</v>
      </c>
      <c r="T76" s="11">
        <v>6</v>
      </c>
      <c r="U76" s="11">
        <v>3</v>
      </c>
      <c r="V76" s="11">
        <v>4</v>
      </c>
      <c r="W76" s="11">
        <v>4</v>
      </c>
      <c r="X76" s="12">
        <v>5</v>
      </c>
      <c r="Y76" s="19"/>
      <c r="Z76" s="19"/>
      <c r="AA76" s="19"/>
      <c r="AB76" s="19"/>
    </row>
    <row r="77" spans="1:30" x14ac:dyDescent="0.25">
      <c r="A77" s="9">
        <v>43632</v>
      </c>
      <c r="B77" s="39">
        <v>5</v>
      </c>
      <c r="C77" s="38" t="s">
        <v>21</v>
      </c>
      <c r="D77" s="39">
        <v>4</v>
      </c>
      <c r="E77" s="38" t="s">
        <v>14</v>
      </c>
      <c r="F77" s="38" t="s">
        <v>23</v>
      </c>
      <c r="G77" s="38" t="s">
        <v>16</v>
      </c>
      <c r="H77" s="39">
        <v>2</v>
      </c>
      <c r="I77" s="39">
        <v>6</v>
      </c>
      <c r="J77" s="39">
        <v>10</v>
      </c>
      <c r="K77" s="38" t="s">
        <v>17</v>
      </c>
      <c r="L77" s="57" t="s">
        <v>3</v>
      </c>
      <c r="M77" s="57"/>
      <c r="N77" s="20" t="s">
        <v>5</v>
      </c>
      <c r="O77" s="64">
        <v>3</v>
      </c>
      <c r="P77" s="13">
        <v>4</v>
      </c>
      <c r="Q77" s="13">
        <v>3</v>
      </c>
      <c r="R77" s="13">
        <v>5</v>
      </c>
      <c r="S77" s="13">
        <v>4</v>
      </c>
      <c r="T77" s="13">
        <v>4</v>
      </c>
      <c r="U77" s="13">
        <v>3</v>
      </c>
      <c r="V77" s="13">
        <v>3</v>
      </c>
      <c r="W77" s="13">
        <v>2</v>
      </c>
      <c r="X77" s="14">
        <v>4</v>
      </c>
      <c r="Y77" s="19"/>
      <c r="Z77" s="19"/>
      <c r="AA77" s="19"/>
      <c r="AB77" s="19"/>
    </row>
    <row r="78" spans="1:30" x14ac:dyDescent="0.25">
      <c r="A78" s="9">
        <v>43633</v>
      </c>
      <c r="B78" s="40" t="s">
        <v>27</v>
      </c>
      <c r="C78" s="40" t="s">
        <v>27</v>
      </c>
      <c r="D78" s="40" t="s">
        <v>27</v>
      </c>
      <c r="E78" s="40" t="s">
        <v>27</v>
      </c>
      <c r="F78" s="40" t="s">
        <v>27</v>
      </c>
      <c r="G78" s="40" t="s">
        <v>27</v>
      </c>
      <c r="H78" s="40" t="s">
        <v>27</v>
      </c>
      <c r="I78" s="40" t="s">
        <v>27</v>
      </c>
      <c r="J78" s="40" t="s">
        <v>27</v>
      </c>
      <c r="K78" s="40" t="s">
        <v>27</v>
      </c>
      <c r="L78" s="57" t="s">
        <v>4</v>
      </c>
      <c r="M78" s="57"/>
      <c r="N78" s="20" t="s">
        <v>6</v>
      </c>
      <c r="O78" s="64">
        <v>6</v>
      </c>
      <c r="P78" s="13">
        <v>5</v>
      </c>
      <c r="Q78" s="13">
        <v>5</v>
      </c>
      <c r="R78" s="13">
        <v>5</v>
      </c>
      <c r="S78" s="13">
        <v>4</v>
      </c>
      <c r="T78" s="13">
        <v>4</v>
      </c>
      <c r="U78" s="13">
        <v>6</v>
      </c>
      <c r="V78" s="13">
        <v>6</v>
      </c>
      <c r="W78" s="13">
        <v>5</v>
      </c>
      <c r="X78" s="14">
        <v>4</v>
      </c>
      <c r="Y78" s="19"/>
      <c r="Z78" s="19"/>
      <c r="AA78" s="19"/>
      <c r="AB78" s="19"/>
    </row>
    <row r="79" spans="1:30" x14ac:dyDescent="0.25">
      <c r="A79" s="9">
        <v>43634</v>
      </c>
      <c r="B79" s="40" t="s">
        <v>27</v>
      </c>
      <c r="C79" s="40" t="s">
        <v>27</v>
      </c>
      <c r="D79" s="40" t="s">
        <v>27</v>
      </c>
      <c r="E79" s="40" t="s">
        <v>27</v>
      </c>
      <c r="F79" s="40" t="s">
        <v>27</v>
      </c>
      <c r="G79" s="40" t="s">
        <v>27</v>
      </c>
      <c r="H79" s="40" t="s">
        <v>27</v>
      </c>
      <c r="I79" s="40" t="s">
        <v>27</v>
      </c>
      <c r="J79" s="40" t="s">
        <v>27</v>
      </c>
      <c r="K79" s="40" t="s">
        <v>27</v>
      </c>
      <c r="L79" s="57" t="s">
        <v>5</v>
      </c>
      <c r="M79" s="57"/>
      <c r="N79" s="20" t="s">
        <v>7</v>
      </c>
      <c r="O79" s="64">
        <v>5</v>
      </c>
      <c r="P79" s="13">
        <v>6</v>
      </c>
      <c r="Q79" s="13">
        <v>5</v>
      </c>
      <c r="R79" s="13">
        <v>4</v>
      </c>
      <c r="S79" s="13">
        <v>6</v>
      </c>
      <c r="T79" s="13">
        <v>5</v>
      </c>
      <c r="U79" s="13">
        <v>6</v>
      </c>
      <c r="V79" s="13">
        <v>5</v>
      </c>
      <c r="W79" s="13">
        <v>7</v>
      </c>
      <c r="X79" s="14">
        <v>6</v>
      </c>
      <c r="Y79" s="19"/>
      <c r="Z79" s="19"/>
      <c r="AA79" s="19"/>
      <c r="AB79" s="19"/>
    </row>
    <row r="80" spans="1:30" x14ac:dyDescent="0.25">
      <c r="A80" s="9">
        <v>43635</v>
      </c>
      <c r="B80" s="40" t="s">
        <v>27</v>
      </c>
      <c r="C80" s="40" t="s">
        <v>27</v>
      </c>
      <c r="D80" s="40" t="s">
        <v>27</v>
      </c>
      <c r="E80" s="40" t="s">
        <v>27</v>
      </c>
      <c r="F80" s="40" t="s">
        <v>27</v>
      </c>
      <c r="G80" s="40" t="s">
        <v>27</v>
      </c>
      <c r="H80" s="40" t="s">
        <v>27</v>
      </c>
      <c r="I80" s="40" t="s">
        <v>27</v>
      </c>
      <c r="J80" s="40" t="s">
        <v>27</v>
      </c>
      <c r="K80" s="40" t="s">
        <v>27</v>
      </c>
      <c r="L80" s="57" t="s">
        <v>6</v>
      </c>
      <c r="M80" s="57"/>
      <c r="N80" s="20" t="s">
        <v>1</v>
      </c>
      <c r="O80" s="64">
        <v>4</v>
      </c>
      <c r="P80" s="13">
        <v>5</v>
      </c>
      <c r="Q80" s="13">
        <v>6</v>
      </c>
      <c r="R80" s="13">
        <v>5</v>
      </c>
      <c r="S80" s="13">
        <v>7</v>
      </c>
      <c r="T80" s="13">
        <v>6</v>
      </c>
      <c r="U80" s="13">
        <v>5</v>
      </c>
      <c r="V80" s="13">
        <v>4</v>
      </c>
      <c r="W80" s="13">
        <v>6</v>
      </c>
      <c r="X80" s="14">
        <v>7</v>
      </c>
      <c r="Y80" s="19"/>
      <c r="Z80" s="19"/>
      <c r="AA80" s="19"/>
      <c r="AB80" s="19"/>
    </row>
    <row r="81" spans="1:28" x14ac:dyDescent="0.25">
      <c r="A81" s="9">
        <v>43636</v>
      </c>
      <c r="B81" s="38" t="s">
        <v>19</v>
      </c>
      <c r="C81" s="39">
        <v>1</v>
      </c>
      <c r="D81" s="38" t="s">
        <v>25</v>
      </c>
      <c r="E81" s="39">
        <v>8</v>
      </c>
      <c r="F81" s="39">
        <v>9</v>
      </c>
      <c r="G81" s="39">
        <v>7</v>
      </c>
      <c r="H81" s="38" t="s">
        <v>15</v>
      </c>
      <c r="I81" s="38" t="s">
        <v>20</v>
      </c>
      <c r="J81" s="38" t="s">
        <v>18</v>
      </c>
      <c r="K81" s="39">
        <v>3</v>
      </c>
      <c r="L81" s="57" t="s">
        <v>7</v>
      </c>
      <c r="M81" s="57"/>
      <c r="N81" s="20" t="s">
        <v>2</v>
      </c>
      <c r="O81" s="64">
        <v>6</v>
      </c>
      <c r="P81" s="13">
        <v>4</v>
      </c>
      <c r="Q81" s="13">
        <v>7</v>
      </c>
      <c r="R81" s="13">
        <v>6</v>
      </c>
      <c r="S81" s="13">
        <v>5</v>
      </c>
      <c r="T81" s="13">
        <v>5</v>
      </c>
      <c r="U81" s="13">
        <v>6</v>
      </c>
      <c r="V81" s="13">
        <v>6</v>
      </c>
      <c r="W81" s="13">
        <v>5</v>
      </c>
      <c r="X81" s="14">
        <v>5</v>
      </c>
      <c r="Y81" s="19"/>
      <c r="Z81" s="19"/>
      <c r="AA81" s="19"/>
      <c r="AB81" s="19"/>
    </row>
    <row r="82" spans="1:28" x14ac:dyDescent="0.25">
      <c r="A82" s="9">
        <v>43637</v>
      </c>
      <c r="B82" s="38" t="s">
        <v>19</v>
      </c>
      <c r="C82" s="39">
        <v>1</v>
      </c>
      <c r="D82" s="38" t="s">
        <v>25</v>
      </c>
      <c r="E82" s="39">
        <v>8</v>
      </c>
      <c r="F82" s="39">
        <v>9</v>
      </c>
      <c r="G82" s="39">
        <v>7</v>
      </c>
      <c r="H82" s="38" t="s">
        <v>15</v>
      </c>
      <c r="I82" s="38" t="s">
        <v>20</v>
      </c>
      <c r="J82" s="38" t="s">
        <v>18</v>
      </c>
      <c r="K82" s="39">
        <v>3</v>
      </c>
      <c r="L82" s="57" t="s">
        <v>1</v>
      </c>
      <c r="M82" s="57"/>
      <c r="N82" s="20" t="s">
        <v>3</v>
      </c>
      <c r="O82" s="60">
        <v>7</v>
      </c>
      <c r="P82" s="15">
        <v>5</v>
      </c>
      <c r="Q82" s="15">
        <v>6</v>
      </c>
      <c r="R82" s="15">
        <v>5</v>
      </c>
      <c r="S82" s="15">
        <v>4</v>
      </c>
      <c r="T82" s="15">
        <v>5</v>
      </c>
      <c r="U82" s="15">
        <v>6</v>
      </c>
      <c r="V82" s="15">
        <v>7</v>
      </c>
      <c r="W82" s="15">
        <v>6</v>
      </c>
      <c r="X82" s="4">
        <v>4</v>
      </c>
      <c r="Y82" s="19"/>
      <c r="Z82" s="19"/>
      <c r="AA82" s="19"/>
      <c r="AB82" s="19"/>
    </row>
    <row r="83" spans="1:28" x14ac:dyDescent="0.25">
      <c r="A83" s="9">
        <v>43638</v>
      </c>
      <c r="B83" s="38" t="s">
        <v>19</v>
      </c>
      <c r="C83" s="39">
        <v>1</v>
      </c>
      <c r="D83" s="38" t="s">
        <v>25</v>
      </c>
      <c r="E83" s="39">
        <v>8</v>
      </c>
      <c r="F83" s="39">
        <v>9</v>
      </c>
      <c r="G83" s="39">
        <v>7</v>
      </c>
      <c r="H83" s="38" t="s">
        <v>15</v>
      </c>
      <c r="I83" s="38" t="s">
        <v>20</v>
      </c>
      <c r="J83" s="38" t="s">
        <v>18</v>
      </c>
      <c r="K83" s="39">
        <v>3</v>
      </c>
      <c r="L83" s="57" t="s">
        <v>2</v>
      </c>
      <c r="M83" s="57"/>
      <c r="N83" s="20" t="s">
        <v>9</v>
      </c>
      <c r="O83" s="57">
        <f>SUM(O76:O82)</f>
        <v>35</v>
      </c>
      <c r="P83" s="37">
        <f t="shared" ref="P83:X83" si="15">SUM(P76:P82)</f>
        <v>35</v>
      </c>
      <c r="Q83" s="37">
        <f t="shared" si="15"/>
        <v>35</v>
      </c>
      <c r="R83" s="37">
        <f t="shared" si="15"/>
        <v>35</v>
      </c>
      <c r="S83" s="37">
        <f t="shared" si="15"/>
        <v>35</v>
      </c>
      <c r="T83" s="37">
        <f t="shared" si="15"/>
        <v>35</v>
      </c>
      <c r="U83" s="37">
        <f t="shared" si="15"/>
        <v>35</v>
      </c>
      <c r="V83" s="37">
        <f t="shared" si="15"/>
        <v>35</v>
      </c>
      <c r="W83" s="37">
        <f t="shared" si="15"/>
        <v>35</v>
      </c>
      <c r="X83" s="37">
        <f t="shared" si="15"/>
        <v>35</v>
      </c>
      <c r="Y83" s="19"/>
      <c r="Z83" s="19"/>
      <c r="AA83" s="19"/>
      <c r="AB83" s="19"/>
    </row>
    <row r="84" spans="1:28" x14ac:dyDescent="0.25">
      <c r="A84" s="9">
        <v>43639</v>
      </c>
      <c r="B84" s="38" t="s">
        <v>19</v>
      </c>
      <c r="C84" s="39">
        <v>1</v>
      </c>
      <c r="D84" s="38" t="s">
        <v>25</v>
      </c>
      <c r="E84" s="39">
        <v>8</v>
      </c>
      <c r="F84" s="39">
        <v>9</v>
      </c>
      <c r="G84" s="39">
        <v>7</v>
      </c>
      <c r="H84" s="38" t="s">
        <v>15</v>
      </c>
      <c r="I84" s="38" t="s">
        <v>20</v>
      </c>
      <c r="J84" s="38" t="s">
        <v>18</v>
      </c>
      <c r="K84" s="39">
        <v>3</v>
      </c>
      <c r="L84" s="57" t="s">
        <v>3</v>
      </c>
      <c r="M84" s="57"/>
      <c r="N84" s="57"/>
      <c r="O84" s="57"/>
      <c r="Y84" s="19"/>
      <c r="Z84" s="19"/>
      <c r="AA84" s="19"/>
      <c r="AB84" s="19"/>
    </row>
    <row r="85" spans="1:28" x14ac:dyDescent="0.25">
      <c r="A85" s="9">
        <v>43640</v>
      </c>
      <c r="B85" s="38" t="s">
        <v>19</v>
      </c>
      <c r="C85" s="39">
        <v>1</v>
      </c>
      <c r="D85" s="38" t="s">
        <v>25</v>
      </c>
      <c r="E85" s="39">
        <v>8</v>
      </c>
      <c r="F85" s="39">
        <v>9</v>
      </c>
      <c r="G85" s="39">
        <v>7</v>
      </c>
      <c r="H85" s="38" t="s">
        <v>15</v>
      </c>
      <c r="I85" s="38" t="s">
        <v>20</v>
      </c>
      <c r="J85" s="38" t="s">
        <v>18</v>
      </c>
      <c r="K85" s="39">
        <v>3</v>
      </c>
      <c r="L85" s="57" t="s">
        <v>4</v>
      </c>
      <c r="M85" s="57"/>
      <c r="N85" s="57"/>
      <c r="O85" s="57"/>
      <c r="Y85" s="19"/>
      <c r="Z85" s="19"/>
      <c r="AA85" s="19"/>
      <c r="AB85" s="19"/>
    </row>
    <row r="86" spans="1:28" x14ac:dyDescent="0.25">
      <c r="A86" s="9">
        <v>43641</v>
      </c>
      <c r="B86" s="39">
        <v>4</v>
      </c>
      <c r="C86" s="39">
        <v>3</v>
      </c>
      <c r="D86" s="38" t="s">
        <v>19</v>
      </c>
      <c r="E86" s="38" t="s">
        <v>23</v>
      </c>
      <c r="F86" s="38" t="s">
        <v>21</v>
      </c>
      <c r="G86" s="38" t="s">
        <v>17</v>
      </c>
      <c r="H86" s="39">
        <v>5</v>
      </c>
      <c r="I86" s="39">
        <v>10</v>
      </c>
      <c r="J86" s="39">
        <v>6</v>
      </c>
      <c r="K86" s="38" t="s">
        <v>16</v>
      </c>
      <c r="L86" s="57" t="s">
        <v>5</v>
      </c>
      <c r="M86" s="57"/>
      <c r="N86" s="67" t="s">
        <v>28</v>
      </c>
      <c r="O86" s="68" t="s">
        <v>23</v>
      </c>
      <c r="P86" s="17" t="s">
        <v>19</v>
      </c>
      <c r="Q86" s="17" t="s">
        <v>14</v>
      </c>
      <c r="R86" s="17" t="s">
        <v>20</v>
      </c>
      <c r="S86" s="17" t="s">
        <v>18</v>
      </c>
      <c r="T86" s="17" t="s">
        <v>15</v>
      </c>
      <c r="U86" s="17" t="s">
        <v>21</v>
      </c>
      <c r="V86" s="17" t="s">
        <v>16</v>
      </c>
      <c r="W86" s="17" t="s">
        <v>17</v>
      </c>
      <c r="X86" s="17" t="s">
        <v>25</v>
      </c>
      <c r="Y86" s="3" t="s">
        <v>9</v>
      </c>
      <c r="Z86" s="53"/>
      <c r="AA86" s="53"/>
      <c r="AB86" s="53"/>
    </row>
    <row r="87" spans="1:28" x14ac:dyDescent="0.25">
      <c r="A87" s="9">
        <v>43642</v>
      </c>
      <c r="B87" s="39">
        <v>4</v>
      </c>
      <c r="C87" s="39">
        <v>3</v>
      </c>
      <c r="D87" s="38" t="s">
        <v>19</v>
      </c>
      <c r="E87" s="38" t="s">
        <v>23</v>
      </c>
      <c r="F87" s="38" t="s">
        <v>21</v>
      </c>
      <c r="G87" s="38" t="s">
        <v>17</v>
      </c>
      <c r="H87" s="39">
        <v>5</v>
      </c>
      <c r="I87" s="39">
        <v>10</v>
      </c>
      <c r="J87" s="39">
        <v>6</v>
      </c>
      <c r="K87" s="38" t="s">
        <v>16</v>
      </c>
      <c r="L87" s="57" t="s">
        <v>6</v>
      </c>
      <c r="M87" s="57"/>
      <c r="N87" s="20">
        <v>1</v>
      </c>
      <c r="O87" s="63">
        <f t="shared" ref="O87:X87" si="16">COUNTIF($B$4:$B$155,N$2)</f>
        <v>0</v>
      </c>
      <c r="P87" s="11">
        <f t="shared" si="16"/>
        <v>10</v>
      </c>
      <c r="Q87" s="11">
        <f t="shared" si="16"/>
        <v>15</v>
      </c>
      <c r="R87" s="11">
        <f t="shared" si="16"/>
        <v>10</v>
      </c>
      <c r="S87" s="11">
        <f t="shared" si="16"/>
        <v>9</v>
      </c>
      <c r="T87" s="11">
        <f t="shared" si="16"/>
        <v>6</v>
      </c>
      <c r="U87" s="11">
        <f t="shared" si="16"/>
        <v>5</v>
      </c>
      <c r="V87" s="11">
        <f t="shared" si="16"/>
        <v>5</v>
      </c>
      <c r="W87" s="11">
        <f t="shared" si="16"/>
        <v>5</v>
      </c>
      <c r="X87" s="12">
        <f t="shared" si="16"/>
        <v>5</v>
      </c>
      <c r="Y87" s="19">
        <f>SUM(O87:X87)</f>
        <v>70</v>
      </c>
      <c r="Z87" s="19"/>
      <c r="AA87" s="19"/>
      <c r="AB87" s="19"/>
    </row>
    <row r="88" spans="1:28" x14ac:dyDescent="0.25">
      <c r="A88" s="9">
        <v>43643</v>
      </c>
      <c r="B88" s="39">
        <v>4</v>
      </c>
      <c r="C88" s="39">
        <v>3</v>
      </c>
      <c r="D88" s="38" t="s">
        <v>19</v>
      </c>
      <c r="E88" s="38" t="s">
        <v>23</v>
      </c>
      <c r="F88" s="38" t="s">
        <v>21</v>
      </c>
      <c r="G88" s="38" t="s">
        <v>17</v>
      </c>
      <c r="H88" s="39">
        <v>5</v>
      </c>
      <c r="I88" s="39">
        <v>10</v>
      </c>
      <c r="J88" s="39">
        <v>6</v>
      </c>
      <c r="K88" s="38" t="s">
        <v>16</v>
      </c>
      <c r="L88" s="57" t="s">
        <v>7</v>
      </c>
      <c r="M88" s="57"/>
      <c r="N88" s="20">
        <v>2</v>
      </c>
      <c r="O88" s="64">
        <f t="shared" ref="O88:X88" si="17">COUNTIF($C$4:$C$155,N$2)</f>
        <v>10</v>
      </c>
      <c r="P88" s="13">
        <f t="shared" si="17"/>
        <v>0</v>
      </c>
      <c r="Q88" s="13">
        <f t="shared" si="17"/>
        <v>10</v>
      </c>
      <c r="R88" s="13">
        <f t="shared" si="17"/>
        <v>10</v>
      </c>
      <c r="S88" s="13">
        <f t="shared" si="17"/>
        <v>10</v>
      </c>
      <c r="T88" s="13">
        <f t="shared" si="17"/>
        <v>5</v>
      </c>
      <c r="U88" s="13">
        <f t="shared" si="17"/>
        <v>10</v>
      </c>
      <c r="V88" s="13">
        <f t="shared" si="17"/>
        <v>5</v>
      </c>
      <c r="W88" s="13">
        <f t="shared" si="17"/>
        <v>6</v>
      </c>
      <c r="X88" s="14">
        <f t="shared" si="17"/>
        <v>4</v>
      </c>
      <c r="Y88" s="19">
        <f t="shared" ref="Y88:Y96" si="18">SUM(O88:X88)</f>
        <v>70</v>
      </c>
      <c r="Z88" s="19"/>
      <c r="AA88" s="19"/>
      <c r="AB88" s="19"/>
    </row>
    <row r="89" spans="1:28" x14ac:dyDescent="0.25">
      <c r="A89" s="9">
        <v>43644</v>
      </c>
      <c r="B89" s="39">
        <v>4</v>
      </c>
      <c r="C89" s="39">
        <v>3</v>
      </c>
      <c r="D89" s="38" t="s">
        <v>19</v>
      </c>
      <c r="E89" s="38" t="s">
        <v>23</v>
      </c>
      <c r="F89" s="38" t="s">
        <v>21</v>
      </c>
      <c r="G89" s="38" t="s">
        <v>17</v>
      </c>
      <c r="H89" s="39">
        <v>5</v>
      </c>
      <c r="I89" s="39">
        <v>10</v>
      </c>
      <c r="J89" s="39">
        <v>6</v>
      </c>
      <c r="K89" s="38" t="s">
        <v>16</v>
      </c>
      <c r="L89" s="57" t="s">
        <v>1</v>
      </c>
      <c r="M89" s="57"/>
      <c r="N89" s="20">
        <v>3</v>
      </c>
      <c r="O89" s="64">
        <f t="shared" ref="O89:X89" si="19">COUNTIF($D$4:$D$155,N$2)</f>
        <v>11</v>
      </c>
      <c r="P89" s="13">
        <f t="shared" si="19"/>
        <v>15</v>
      </c>
      <c r="Q89" s="13">
        <f t="shared" si="19"/>
        <v>0</v>
      </c>
      <c r="R89" s="13">
        <f t="shared" si="19"/>
        <v>9</v>
      </c>
      <c r="S89" s="13">
        <f t="shared" si="19"/>
        <v>10</v>
      </c>
      <c r="T89" s="13">
        <f t="shared" si="19"/>
        <v>5</v>
      </c>
      <c r="U89" s="13">
        <f t="shared" si="19"/>
        <v>5</v>
      </c>
      <c r="V89" s="13">
        <f t="shared" si="19"/>
        <v>5</v>
      </c>
      <c r="W89" s="13">
        <f t="shared" si="19"/>
        <v>5</v>
      </c>
      <c r="X89" s="14">
        <f t="shared" si="19"/>
        <v>5</v>
      </c>
      <c r="Y89" s="19">
        <f t="shared" si="18"/>
        <v>70</v>
      </c>
      <c r="Z89" s="19"/>
      <c r="AA89" s="19"/>
      <c r="AB89" s="19"/>
    </row>
    <row r="90" spans="1:28" x14ac:dyDescent="0.25">
      <c r="A90" s="9">
        <v>43645</v>
      </c>
      <c r="B90" s="39">
        <v>4</v>
      </c>
      <c r="C90" s="39">
        <v>3</v>
      </c>
      <c r="D90" s="38" t="s">
        <v>19</v>
      </c>
      <c r="E90" s="38" t="s">
        <v>23</v>
      </c>
      <c r="F90" s="38" t="s">
        <v>21</v>
      </c>
      <c r="G90" s="38" t="s">
        <v>17</v>
      </c>
      <c r="H90" s="39">
        <v>5</v>
      </c>
      <c r="I90" s="39">
        <v>10</v>
      </c>
      <c r="J90" s="39">
        <v>6</v>
      </c>
      <c r="K90" s="38" t="s">
        <v>16</v>
      </c>
      <c r="L90" s="57" t="s">
        <v>2</v>
      </c>
      <c r="M90" s="57"/>
      <c r="N90" s="20">
        <v>4</v>
      </c>
      <c r="O90" s="64">
        <f t="shared" ref="O90:X90" si="20">COUNTIF($E$4:$E$155,N$2)</f>
        <v>10</v>
      </c>
      <c r="P90" s="13">
        <f t="shared" si="20"/>
        <v>10</v>
      </c>
      <c r="Q90" s="13">
        <f t="shared" si="20"/>
        <v>9</v>
      </c>
      <c r="R90" s="13">
        <f t="shared" si="20"/>
        <v>0</v>
      </c>
      <c r="S90" s="13">
        <f t="shared" si="20"/>
        <v>11</v>
      </c>
      <c r="T90" s="13">
        <f t="shared" si="20"/>
        <v>5</v>
      </c>
      <c r="U90" s="13">
        <f t="shared" si="20"/>
        <v>5</v>
      </c>
      <c r="V90" s="13">
        <f t="shared" si="20"/>
        <v>5</v>
      </c>
      <c r="W90" s="13">
        <f t="shared" si="20"/>
        <v>10</v>
      </c>
      <c r="X90" s="14">
        <f t="shared" si="20"/>
        <v>5</v>
      </c>
      <c r="Y90" s="19">
        <f t="shared" si="18"/>
        <v>70</v>
      </c>
      <c r="Z90" s="19"/>
      <c r="AA90" s="19"/>
      <c r="AB90" s="19"/>
    </row>
    <row r="91" spans="1:28" x14ac:dyDescent="0.25">
      <c r="A91" s="9">
        <v>43646</v>
      </c>
      <c r="B91" s="38" t="s">
        <v>18</v>
      </c>
      <c r="C91" s="38" t="s">
        <v>25</v>
      </c>
      <c r="D91" s="39">
        <v>4</v>
      </c>
      <c r="E91" s="38" t="s">
        <v>14</v>
      </c>
      <c r="F91" s="39">
        <v>1</v>
      </c>
      <c r="G91" s="39">
        <v>8</v>
      </c>
      <c r="H91" s="38" t="s">
        <v>17</v>
      </c>
      <c r="I91" s="38" t="s">
        <v>15</v>
      </c>
      <c r="J91" s="39">
        <v>7</v>
      </c>
      <c r="K91" s="39">
        <v>2</v>
      </c>
      <c r="L91" s="57" t="s">
        <v>3</v>
      </c>
      <c r="M91" s="57"/>
      <c r="N91" s="20">
        <v>5</v>
      </c>
      <c r="O91" s="64">
        <f t="shared" ref="O91:X91" si="21">COUNTIF($F$4:$F$155,N$2)</f>
        <v>15</v>
      </c>
      <c r="P91" s="13">
        <f t="shared" si="21"/>
        <v>11</v>
      </c>
      <c r="Q91" s="13">
        <f t="shared" si="21"/>
        <v>10</v>
      </c>
      <c r="R91" s="13">
        <f t="shared" si="21"/>
        <v>10</v>
      </c>
      <c r="S91" s="13">
        <f t="shared" si="21"/>
        <v>0</v>
      </c>
      <c r="T91" s="13">
        <f t="shared" si="21"/>
        <v>5</v>
      </c>
      <c r="U91" s="13">
        <f t="shared" si="21"/>
        <v>5</v>
      </c>
      <c r="V91" s="13">
        <f t="shared" si="21"/>
        <v>4</v>
      </c>
      <c r="W91" s="13">
        <f t="shared" si="21"/>
        <v>5</v>
      </c>
      <c r="X91" s="14">
        <f t="shared" si="21"/>
        <v>5</v>
      </c>
      <c r="Y91" s="19">
        <f t="shared" si="18"/>
        <v>70</v>
      </c>
      <c r="Z91" s="19"/>
      <c r="AA91" s="19"/>
      <c r="AB91" s="19"/>
    </row>
    <row r="92" spans="1:28" x14ac:dyDescent="0.25">
      <c r="A92" s="9">
        <v>43647</v>
      </c>
      <c r="B92" s="38" t="s">
        <v>18</v>
      </c>
      <c r="C92" s="38" t="s">
        <v>25</v>
      </c>
      <c r="D92" s="39">
        <v>4</v>
      </c>
      <c r="E92" s="38" t="s">
        <v>14</v>
      </c>
      <c r="F92" s="39">
        <v>1</v>
      </c>
      <c r="G92" s="39">
        <v>8</v>
      </c>
      <c r="H92" s="38" t="s">
        <v>17</v>
      </c>
      <c r="I92" s="38" t="s">
        <v>15</v>
      </c>
      <c r="J92" s="39">
        <v>7</v>
      </c>
      <c r="K92" s="39">
        <v>2</v>
      </c>
      <c r="L92" s="57" t="s">
        <v>4</v>
      </c>
      <c r="M92" s="57"/>
      <c r="N92" s="20">
        <v>6</v>
      </c>
      <c r="O92" s="64">
        <f t="shared" ref="O92:X92" si="22">COUNTIF($G$4:$G$155,N$2)</f>
        <v>5</v>
      </c>
      <c r="P92" s="13">
        <f t="shared" si="22"/>
        <v>4</v>
      </c>
      <c r="Q92" s="13">
        <f t="shared" si="22"/>
        <v>5</v>
      </c>
      <c r="R92" s="13">
        <f t="shared" si="22"/>
        <v>5</v>
      </c>
      <c r="S92" s="13">
        <f t="shared" si="22"/>
        <v>10</v>
      </c>
      <c r="T92" s="13">
        <f t="shared" si="22"/>
        <v>0</v>
      </c>
      <c r="U92" s="13">
        <f t="shared" si="22"/>
        <v>11</v>
      </c>
      <c r="V92" s="13">
        <f t="shared" si="22"/>
        <v>10</v>
      </c>
      <c r="W92" s="13">
        <f t="shared" si="22"/>
        <v>10</v>
      </c>
      <c r="X92" s="14">
        <f t="shared" si="22"/>
        <v>10</v>
      </c>
      <c r="Y92" s="19">
        <f t="shared" si="18"/>
        <v>70</v>
      </c>
      <c r="Z92" s="19"/>
      <c r="AA92" s="19"/>
      <c r="AB92" s="19"/>
    </row>
    <row r="93" spans="1:28" x14ac:dyDescent="0.25">
      <c r="A93" s="9">
        <v>43648</v>
      </c>
      <c r="B93" s="38" t="s">
        <v>18</v>
      </c>
      <c r="C93" s="38" t="s">
        <v>25</v>
      </c>
      <c r="D93" s="39">
        <v>4</v>
      </c>
      <c r="E93" s="38" t="s">
        <v>14</v>
      </c>
      <c r="F93" s="39">
        <v>1</v>
      </c>
      <c r="G93" s="39">
        <v>8</v>
      </c>
      <c r="H93" s="38" t="s">
        <v>17</v>
      </c>
      <c r="I93" s="38" t="s">
        <v>15</v>
      </c>
      <c r="J93" s="39">
        <v>7</v>
      </c>
      <c r="K93" s="39">
        <v>2</v>
      </c>
      <c r="L93" s="57" t="s">
        <v>5</v>
      </c>
      <c r="M93" s="57"/>
      <c r="N93" s="20">
        <v>7</v>
      </c>
      <c r="O93" s="64">
        <f t="shared" ref="O93:X93" si="23">COUNTIF($H$4:$H$155,N$2)</f>
        <v>5</v>
      </c>
      <c r="P93" s="13">
        <f t="shared" si="23"/>
        <v>5</v>
      </c>
      <c r="Q93" s="13">
        <f t="shared" si="23"/>
        <v>6</v>
      </c>
      <c r="R93" s="13">
        <f t="shared" si="23"/>
        <v>5</v>
      </c>
      <c r="S93" s="13">
        <f t="shared" si="23"/>
        <v>5</v>
      </c>
      <c r="T93" s="13">
        <f t="shared" si="23"/>
        <v>15</v>
      </c>
      <c r="U93" s="13">
        <f t="shared" si="23"/>
        <v>0</v>
      </c>
      <c r="V93" s="13">
        <f t="shared" si="23"/>
        <v>10</v>
      </c>
      <c r="W93" s="13">
        <f t="shared" si="23"/>
        <v>9</v>
      </c>
      <c r="X93" s="14">
        <f t="shared" si="23"/>
        <v>10</v>
      </c>
      <c r="Y93" s="19">
        <f t="shared" si="18"/>
        <v>70</v>
      </c>
      <c r="Z93" s="19"/>
      <c r="AA93" s="19"/>
      <c r="AB93" s="19"/>
    </row>
    <row r="94" spans="1:28" x14ac:dyDescent="0.25">
      <c r="A94" s="9">
        <v>43649</v>
      </c>
      <c r="B94" s="38" t="s">
        <v>18</v>
      </c>
      <c r="C94" s="38" t="s">
        <v>25</v>
      </c>
      <c r="D94" s="39">
        <v>4</v>
      </c>
      <c r="E94" s="38" t="s">
        <v>14</v>
      </c>
      <c r="F94" s="39">
        <v>1</v>
      </c>
      <c r="G94" s="39">
        <v>8</v>
      </c>
      <c r="H94" s="38" t="s">
        <v>17</v>
      </c>
      <c r="I94" s="38" t="s">
        <v>15</v>
      </c>
      <c r="J94" s="39">
        <v>7</v>
      </c>
      <c r="K94" s="39">
        <v>2</v>
      </c>
      <c r="L94" s="57" t="s">
        <v>6</v>
      </c>
      <c r="M94" s="57"/>
      <c r="N94" s="20">
        <v>8</v>
      </c>
      <c r="O94" s="64">
        <f t="shared" ref="O94:X94" si="24">COUNTIF($I$4:$I$155,N$2)</f>
        <v>5</v>
      </c>
      <c r="P94" s="13">
        <f t="shared" si="24"/>
        <v>5</v>
      </c>
      <c r="Q94" s="13">
        <f t="shared" si="24"/>
        <v>5</v>
      </c>
      <c r="R94" s="13">
        <f t="shared" si="24"/>
        <v>5</v>
      </c>
      <c r="S94" s="13">
        <f t="shared" si="24"/>
        <v>5</v>
      </c>
      <c r="T94" s="13">
        <f t="shared" si="24"/>
        <v>9</v>
      </c>
      <c r="U94" s="13">
        <f t="shared" si="24"/>
        <v>10</v>
      </c>
      <c r="V94" s="13">
        <f t="shared" si="24"/>
        <v>0</v>
      </c>
      <c r="W94" s="13">
        <f t="shared" si="24"/>
        <v>10</v>
      </c>
      <c r="X94" s="14">
        <f t="shared" si="24"/>
        <v>16</v>
      </c>
      <c r="Y94" s="19">
        <f t="shared" si="18"/>
        <v>70</v>
      </c>
      <c r="Z94" s="19"/>
      <c r="AA94" s="19"/>
      <c r="AB94" s="19"/>
    </row>
    <row r="95" spans="1:28" x14ac:dyDescent="0.25">
      <c r="A95" s="9">
        <v>43650</v>
      </c>
      <c r="B95" s="39">
        <v>3</v>
      </c>
      <c r="C95" s="39">
        <v>5</v>
      </c>
      <c r="D95" s="38" t="s">
        <v>23</v>
      </c>
      <c r="E95" s="39">
        <v>10</v>
      </c>
      <c r="F95" s="38" t="s">
        <v>19</v>
      </c>
      <c r="G95" s="38" t="s">
        <v>21</v>
      </c>
      <c r="H95" s="39">
        <v>6</v>
      </c>
      <c r="I95" s="39">
        <v>9</v>
      </c>
      <c r="J95" s="38" t="s">
        <v>16</v>
      </c>
      <c r="K95" s="38" t="s">
        <v>20</v>
      </c>
      <c r="L95" s="57" t="s">
        <v>7</v>
      </c>
      <c r="M95" s="57"/>
      <c r="N95" s="20">
        <v>9</v>
      </c>
      <c r="O95" s="64">
        <f t="shared" ref="O95:X95" si="25">COUNTIF($J$4:$J$155,N$2)</f>
        <v>4</v>
      </c>
      <c r="P95" s="13">
        <f t="shared" si="25"/>
        <v>5</v>
      </c>
      <c r="Q95" s="13">
        <f t="shared" si="25"/>
        <v>5</v>
      </c>
      <c r="R95" s="13">
        <f t="shared" si="25"/>
        <v>5</v>
      </c>
      <c r="S95" s="13">
        <f t="shared" si="25"/>
        <v>5</v>
      </c>
      <c r="T95" s="13">
        <f t="shared" si="25"/>
        <v>10</v>
      </c>
      <c r="U95" s="13">
        <f t="shared" si="25"/>
        <v>10</v>
      </c>
      <c r="V95" s="13">
        <f t="shared" si="25"/>
        <v>16</v>
      </c>
      <c r="W95" s="13">
        <f t="shared" si="25"/>
        <v>0</v>
      </c>
      <c r="X95" s="14">
        <f t="shared" si="25"/>
        <v>10</v>
      </c>
      <c r="Y95" s="19">
        <f t="shared" si="18"/>
        <v>70</v>
      </c>
      <c r="Z95" s="19"/>
      <c r="AA95" s="19"/>
      <c r="AB95" s="19"/>
    </row>
    <row r="96" spans="1:28" x14ac:dyDescent="0.25">
      <c r="A96" s="9">
        <v>43651</v>
      </c>
      <c r="B96" s="39">
        <v>3</v>
      </c>
      <c r="C96" s="39">
        <v>5</v>
      </c>
      <c r="D96" s="38" t="s">
        <v>23</v>
      </c>
      <c r="E96" s="39">
        <v>10</v>
      </c>
      <c r="F96" s="38" t="s">
        <v>19</v>
      </c>
      <c r="G96" s="38" t="s">
        <v>21</v>
      </c>
      <c r="H96" s="39">
        <v>6</v>
      </c>
      <c r="I96" s="39">
        <v>9</v>
      </c>
      <c r="J96" s="38" t="s">
        <v>16</v>
      </c>
      <c r="K96" s="38" t="s">
        <v>20</v>
      </c>
      <c r="L96" s="57" t="s">
        <v>1</v>
      </c>
      <c r="M96" s="57"/>
      <c r="N96" s="20">
        <v>10</v>
      </c>
      <c r="O96" s="60">
        <f t="shared" ref="O96:X96" si="26">COUNTIF($K$4:$K$155,N$2)</f>
        <v>5</v>
      </c>
      <c r="P96" s="15">
        <f t="shared" si="26"/>
        <v>5</v>
      </c>
      <c r="Q96" s="15">
        <f t="shared" si="26"/>
        <v>5</v>
      </c>
      <c r="R96" s="15">
        <f t="shared" si="26"/>
        <v>11</v>
      </c>
      <c r="S96" s="15">
        <f t="shared" si="26"/>
        <v>5</v>
      </c>
      <c r="T96" s="15">
        <f t="shared" si="26"/>
        <v>10</v>
      </c>
      <c r="U96" s="15">
        <f t="shared" si="26"/>
        <v>9</v>
      </c>
      <c r="V96" s="15">
        <f t="shared" si="26"/>
        <v>10</v>
      </c>
      <c r="W96" s="15">
        <f t="shared" si="26"/>
        <v>10</v>
      </c>
      <c r="X96" s="4">
        <f t="shared" si="26"/>
        <v>0</v>
      </c>
      <c r="Y96" s="19">
        <f t="shared" si="18"/>
        <v>70</v>
      </c>
      <c r="Z96" s="19"/>
      <c r="AA96" s="19"/>
      <c r="AB96" s="19"/>
    </row>
    <row r="97" spans="1:29" x14ac:dyDescent="0.25">
      <c r="A97" s="9">
        <v>43652</v>
      </c>
      <c r="B97" s="39">
        <v>3</v>
      </c>
      <c r="C97" s="39">
        <v>5</v>
      </c>
      <c r="D97" s="38" t="s">
        <v>23</v>
      </c>
      <c r="E97" s="39">
        <v>10</v>
      </c>
      <c r="F97" s="38" t="s">
        <v>19</v>
      </c>
      <c r="G97" s="38" t="s">
        <v>21</v>
      </c>
      <c r="H97" s="39">
        <v>6</v>
      </c>
      <c r="I97" s="39">
        <v>9</v>
      </c>
      <c r="J97" s="38" t="s">
        <v>16</v>
      </c>
      <c r="K97" s="38" t="s">
        <v>20</v>
      </c>
      <c r="L97" s="57" t="s">
        <v>2</v>
      </c>
      <c r="M97" s="57"/>
      <c r="N97" s="20" t="s">
        <v>9</v>
      </c>
      <c r="O97" s="57">
        <f>SUM(O87:O96)</f>
        <v>70</v>
      </c>
      <c r="P97" s="37">
        <f t="shared" ref="P97:X97" si="27">SUM(P87:P96)</f>
        <v>70</v>
      </c>
      <c r="Q97" s="37">
        <f t="shared" si="27"/>
        <v>70</v>
      </c>
      <c r="R97" s="37">
        <f t="shared" si="27"/>
        <v>70</v>
      </c>
      <c r="S97" s="37">
        <f t="shared" si="27"/>
        <v>70</v>
      </c>
      <c r="T97" s="37">
        <f t="shared" si="27"/>
        <v>70</v>
      </c>
      <c r="U97" s="37">
        <f t="shared" si="27"/>
        <v>70</v>
      </c>
      <c r="V97" s="37">
        <f t="shared" si="27"/>
        <v>70</v>
      </c>
      <c r="W97" s="37">
        <f t="shared" si="27"/>
        <v>70</v>
      </c>
      <c r="X97" s="37">
        <f t="shared" si="27"/>
        <v>70</v>
      </c>
      <c r="Y97" s="19"/>
      <c r="Z97" s="19"/>
      <c r="AA97" s="19"/>
      <c r="AB97" s="19"/>
    </row>
    <row r="98" spans="1:29" x14ac:dyDescent="0.25">
      <c r="A98" s="9">
        <v>43653</v>
      </c>
      <c r="B98" s="39">
        <v>3</v>
      </c>
      <c r="C98" s="39">
        <v>5</v>
      </c>
      <c r="D98" s="38" t="s">
        <v>23</v>
      </c>
      <c r="E98" s="39">
        <v>10</v>
      </c>
      <c r="F98" s="38" t="s">
        <v>19</v>
      </c>
      <c r="G98" s="38" t="s">
        <v>21</v>
      </c>
      <c r="H98" s="39">
        <v>6</v>
      </c>
      <c r="I98" s="39">
        <v>9</v>
      </c>
      <c r="J98" s="38" t="s">
        <v>16</v>
      </c>
      <c r="K98" s="38" t="s">
        <v>20</v>
      </c>
      <c r="L98" s="57" t="s">
        <v>3</v>
      </c>
      <c r="M98" s="57"/>
      <c r="N98" s="50"/>
      <c r="O98" s="61"/>
      <c r="P98" s="13"/>
      <c r="Q98" s="13"/>
      <c r="R98" s="13"/>
      <c r="S98" s="13"/>
      <c r="T98" s="13"/>
      <c r="U98" s="13"/>
      <c r="V98" s="13"/>
      <c r="W98" s="13"/>
      <c r="X98" s="13"/>
      <c r="Y98" s="19"/>
      <c r="Z98" s="19"/>
      <c r="AA98" s="19"/>
      <c r="AB98" s="19"/>
    </row>
    <row r="99" spans="1:29" x14ac:dyDescent="0.25">
      <c r="A99" s="9">
        <v>43654</v>
      </c>
      <c r="B99" s="39">
        <v>3</v>
      </c>
      <c r="C99" s="39">
        <v>5</v>
      </c>
      <c r="D99" s="38" t="s">
        <v>23</v>
      </c>
      <c r="E99" s="39">
        <v>10</v>
      </c>
      <c r="F99" s="38" t="s">
        <v>19</v>
      </c>
      <c r="G99" s="38" t="s">
        <v>21</v>
      </c>
      <c r="H99" s="39">
        <v>6</v>
      </c>
      <c r="I99" s="39">
        <v>9</v>
      </c>
      <c r="J99" s="38" t="s">
        <v>16</v>
      </c>
      <c r="K99" s="38" t="s">
        <v>20</v>
      </c>
      <c r="L99" s="57" t="s">
        <v>4</v>
      </c>
      <c r="M99" s="57"/>
      <c r="N99" s="50"/>
      <c r="O99" s="61"/>
      <c r="P99" s="13"/>
      <c r="Q99" s="13"/>
      <c r="R99" s="13"/>
      <c r="S99" s="13"/>
      <c r="T99" s="13"/>
      <c r="U99" s="13"/>
      <c r="V99" s="13"/>
      <c r="W99" s="13"/>
      <c r="X99" s="13"/>
      <c r="Y99" s="19"/>
      <c r="Z99" s="19"/>
      <c r="AA99" s="19"/>
      <c r="AB99" s="19"/>
    </row>
    <row r="100" spans="1:29" x14ac:dyDescent="0.25">
      <c r="A100" s="9">
        <v>43655</v>
      </c>
      <c r="B100" s="39">
        <v>3</v>
      </c>
      <c r="C100" s="39">
        <v>5</v>
      </c>
      <c r="D100" s="38" t="s">
        <v>23</v>
      </c>
      <c r="E100" s="39">
        <v>10</v>
      </c>
      <c r="F100" s="38" t="s">
        <v>19</v>
      </c>
      <c r="G100" s="38" t="s">
        <v>21</v>
      </c>
      <c r="H100" s="39">
        <v>6</v>
      </c>
      <c r="I100" s="39">
        <v>9</v>
      </c>
      <c r="J100" s="38" t="s">
        <v>16</v>
      </c>
      <c r="K100" s="38" t="s">
        <v>20</v>
      </c>
      <c r="L100" s="57" t="s">
        <v>5</v>
      </c>
      <c r="M100" s="57"/>
      <c r="N100" s="50"/>
      <c r="O100" s="61"/>
      <c r="P100" s="13"/>
      <c r="Q100" s="13"/>
      <c r="R100" s="13"/>
      <c r="S100" s="13"/>
      <c r="T100" s="13"/>
      <c r="U100" s="13"/>
      <c r="V100" s="13"/>
      <c r="W100" s="13"/>
      <c r="X100" s="13"/>
      <c r="Y100" s="19"/>
      <c r="Z100" s="19"/>
      <c r="AA100" s="19"/>
      <c r="AB100" s="19"/>
    </row>
    <row r="101" spans="1:29" x14ac:dyDescent="0.25">
      <c r="A101" s="9">
        <v>43656</v>
      </c>
      <c r="B101" s="40" t="s">
        <v>27</v>
      </c>
      <c r="C101" s="40" t="s">
        <v>27</v>
      </c>
      <c r="D101" s="40" t="s">
        <v>27</v>
      </c>
      <c r="E101" s="40" t="s">
        <v>27</v>
      </c>
      <c r="F101" s="40" t="s">
        <v>27</v>
      </c>
      <c r="G101" s="40" t="s">
        <v>27</v>
      </c>
      <c r="H101" s="40" t="s">
        <v>27</v>
      </c>
      <c r="I101" s="40" t="s">
        <v>27</v>
      </c>
      <c r="J101" s="40" t="s">
        <v>27</v>
      </c>
      <c r="K101" s="40" t="s">
        <v>27</v>
      </c>
      <c r="L101" s="57" t="s">
        <v>6</v>
      </c>
      <c r="M101" s="57"/>
      <c r="N101" s="57"/>
      <c r="O101" s="57"/>
      <c r="Y101" s="19"/>
      <c r="Z101" s="19"/>
      <c r="AA101" s="19"/>
      <c r="AB101" s="19"/>
    </row>
    <row r="102" spans="1:29" x14ac:dyDescent="0.25">
      <c r="A102" s="9">
        <v>43657</v>
      </c>
      <c r="B102" s="38" t="s">
        <v>15</v>
      </c>
      <c r="C102" s="38" t="s">
        <v>17</v>
      </c>
      <c r="D102" s="39">
        <v>7</v>
      </c>
      <c r="E102" s="38" t="s">
        <v>18</v>
      </c>
      <c r="F102" s="39">
        <v>4</v>
      </c>
      <c r="G102" s="39">
        <v>1</v>
      </c>
      <c r="H102" s="38" t="s">
        <v>14</v>
      </c>
      <c r="I102" s="38" t="s">
        <v>25</v>
      </c>
      <c r="J102" s="39">
        <v>2</v>
      </c>
      <c r="K102" s="39">
        <v>8</v>
      </c>
      <c r="L102" s="57" t="s">
        <v>7</v>
      </c>
      <c r="M102" s="57"/>
      <c r="N102" s="57"/>
      <c r="O102" s="69">
        <v>1</v>
      </c>
      <c r="P102" s="34">
        <v>2</v>
      </c>
      <c r="Q102" s="34">
        <v>3</v>
      </c>
      <c r="R102" s="34">
        <v>4</v>
      </c>
      <c r="S102" s="34">
        <v>5</v>
      </c>
      <c r="T102" s="34">
        <v>6</v>
      </c>
      <c r="U102" s="34">
        <v>7</v>
      </c>
      <c r="V102" s="34">
        <v>8</v>
      </c>
      <c r="W102" s="34">
        <v>9</v>
      </c>
      <c r="X102" s="34">
        <v>10</v>
      </c>
      <c r="Y102" s="54"/>
      <c r="Z102" s="54"/>
      <c r="AA102" s="54"/>
      <c r="AB102" s="54"/>
    </row>
    <row r="103" spans="1:29" x14ac:dyDescent="0.25">
      <c r="A103" s="9">
        <v>43658</v>
      </c>
      <c r="B103" s="38" t="s">
        <v>15</v>
      </c>
      <c r="C103" s="38" t="s">
        <v>17</v>
      </c>
      <c r="D103" s="39">
        <v>7</v>
      </c>
      <c r="E103" s="38" t="s">
        <v>18</v>
      </c>
      <c r="F103" s="39">
        <v>4</v>
      </c>
      <c r="G103" s="39">
        <v>1</v>
      </c>
      <c r="H103" s="38" t="s">
        <v>14</v>
      </c>
      <c r="I103" s="38" t="s">
        <v>25</v>
      </c>
      <c r="J103" s="39">
        <v>2</v>
      </c>
      <c r="K103" s="39">
        <v>8</v>
      </c>
      <c r="L103" s="57" t="s">
        <v>1</v>
      </c>
      <c r="M103" s="57"/>
      <c r="N103" s="62" t="s">
        <v>34</v>
      </c>
      <c r="O103" s="68" t="s">
        <v>23</v>
      </c>
      <c r="P103" s="17" t="s">
        <v>19</v>
      </c>
      <c r="Q103" s="17" t="s">
        <v>14</v>
      </c>
      <c r="R103" s="17" t="s">
        <v>20</v>
      </c>
      <c r="S103" s="17" t="s">
        <v>18</v>
      </c>
      <c r="T103" s="17" t="s">
        <v>15</v>
      </c>
      <c r="U103" s="17" t="s">
        <v>21</v>
      </c>
      <c r="V103" s="17" t="s">
        <v>16</v>
      </c>
      <c r="W103" s="17" t="s">
        <v>17</v>
      </c>
      <c r="X103" s="17" t="s">
        <v>25</v>
      </c>
      <c r="Y103" s="3" t="s">
        <v>9</v>
      </c>
      <c r="Z103" s="53"/>
      <c r="AA103" s="53"/>
      <c r="AB103" s="53"/>
      <c r="AC103" s="3"/>
    </row>
    <row r="104" spans="1:29" x14ac:dyDescent="0.25">
      <c r="A104" s="9">
        <v>43659</v>
      </c>
      <c r="B104" s="38" t="s">
        <v>15</v>
      </c>
      <c r="C104" s="38" t="s">
        <v>17</v>
      </c>
      <c r="D104" s="39">
        <v>7</v>
      </c>
      <c r="E104" s="38" t="s">
        <v>18</v>
      </c>
      <c r="F104" s="39">
        <v>4</v>
      </c>
      <c r="G104" s="39">
        <v>1</v>
      </c>
      <c r="H104" s="38" t="s">
        <v>14</v>
      </c>
      <c r="I104" s="38" t="s">
        <v>25</v>
      </c>
      <c r="J104" s="39">
        <v>2</v>
      </c>
      <c r="K104" s="39">
        <v>8</v>
      </c>
      <c r="L104" s="57" t="s">
        <v>2</v>
      </c>
      <c r="M104" s="70" t="s">
        <v>23</v>
      </c>
      <c r="N104" s="20">
        <v>1</v>
      </c>
      <c r="O104" s="63">
        <v>0</v>
      </c>
      <c r="P104" s="11">
        <f>-O105</f>
        <v>0</v>
      </c>
      <c r="Q104" s="11">
        <f>-O106</f>
        <v>4</v>
      </c>
      <c r="R104" s="11">
        <f>-O107</f>
        <v>0</v>
      </c>
      <c r="S104" s="11">
        <f>-O108</f>
        <v>-6</v>
      </c>
      <c r="T104" s="11">
        <f>-O109</f>
        <v>1</v>
      </c>
      <c r="U104" s="11">
        <f>-O110</f>
        <v>0</v>
      </c>
      <c r="V104" s="11">
        <f>-O111</f>
        <v>0</v>
      </c>
      <c r="W104" s="11">
        <f>-O112</f>
        <v>1</v>
      </c>
      <c r="X104" s="12">
        <f>-O113</f>
        <v>0</v>
      </c>
      <c r="Y104" s="19">
        <f>SUM(O104:X104)</f>
        <v>0</v>
      </c>
      <c r="Z104" s="19"/>
      <c r="AA104" s="19"/>
      <c r="AB104" s="19"/>
      <c r="AC104" s="19"/>
    </row>
    <row r="105" spans="1:29" x14ac:dyDescent="0.25">
      <c r="A105" s="9">
        <v>43660</v>
      </c>
      <c r="B105" s="38" t="s">
        <v>15</v>
      </c>
      <c r="C105" s="38" t="s">
        <v>17</v>
      </c>
      <c r="D105" s="39">
        <v>7</v>
      </c>
      <c r="E105" s="38" t="s">
        <v>18</v>
      </c>
      <c r="F105" s="39">
        <v>4</v>
      </c>
      <c r="G105" s="39">
        <v>1</v>
      </c>
      <c r="H105" s="38" t="s">
        <v>14</v>
      </c>
      <c r="I105" s="38" t="s">
        <v>25</v>
      </c>
      <c r="J105" s="39">
        <v>2</v>
      </c>
      <c r="K105" s="39">
        <v>8</v>
      </c>
      <c r="L105" s="57" t="s">
        <v>3</v>
      </c>
      <c r="M105" s="70" t="s">
        <v>19</v>
      </c>
      <c r="N105" s="20">
        <v>2</v>
      </c>
      <c r="O105" s="64">
        <f t="shared" ref="O105:O113" si="28">VLOOKUP(N105,$N$87:$AB$100,2,FALSE)-HLOOKUP(M105,$O$86:$AB$100,2,FALSE)</f>
        <v>0</v>
      </c>
      <c r="P105" s="13">
        <v>0</v>
      </c>
      <c r="Q105" s="13">
        <f>-P106</f>
        <v>-5</v>
      </c>
      <c r="R105" s="13">
        <f>-P107</f>
        <v>0</v>
      </c>
      <c r="S105" s="13">
        <f>-P108</f>
        <v>-1</v>
      </c>
      <c r="T105" s="13">
        <f>-P109</f>
        <v>1</v>
      </c>
      <c r="U105" s="13">
        <f>-P110</f>
        <v>5</v>
      </c>
      <c r="V105" s="13">
        <f>-P111</f>
        <v>0</v>
      </c>
      <c r="W105" s="13">
        <f>-P112</f>
        <v>1</v>
      </c>
      <c r="X105" s="14">
        <f>-P113</f>
        <v>-1</v>
      </c>
      <c r="Y105" s="19">
        <f t="shared" ref="Y105:Y113" si="29">SUM(O105:X105)</f>
        <v>0</v>
      </c>
      <c r="Z105" s="19"/>
      <c r="AA105" s="19"/>
      <c r="AB105" s="19"/>
      <c r="AC105" s="19"/>
    </row>
    <row r="106" spans="1:29" x14ac:dyDescent="0.25">
      <c r="A106" s="9">
        <v>43661</v>
      </c>
      <c r="B106" s="38" t="s">
        <v>15</v>
      </c>
      <c r="C106" s="38" t="s">
        <v>17</v>
      </c>
      <c r="D106" s="39">
        <v>7</v>
      </c>
      <c r="E106" s="38" t="s">
        <v>18</v>
      </c>
      <c r="F106" s="39">
        <v>4</v>
      </c>
      <c r="G106" s="39">
        <v>1</v>
      </c>
      <c r="H106" s="38" t="s">
        <v>14</v>
      </c>
      <c r="I106" s="38" t="s">
        <v>25</v>
      </c>
      <c r="J106" s="39">
        <v>2</v>
      </c>
      <c r="K106" s="39">
        <v>8</v>
      </c>
      <c r="L106" s="57" t="s">
        <v>4</v>
      </c>
      <c r="M106" s="70" t="s">
        <v>14</v>
      </c>
      <c r="N106" s="20">
        <v>3</v>
      </c>
      <c r="O106" s="64">
        <f t="shared" si="28"/>
        <v>-4</v>
      </c>
      <c r="P106" s="13">
        <f t="shared" ref="P106:P113" si="30">VLOOKUP(N106,$N$87:$AB$100,3,FALSE)-HLOOKUP(M106,$O$86:$AB$100,3,FALSE)</f>
        <v>5</v>
      </c>
      <c r="Q106" s="13">
        <f>COUNTIF($D$4:$D$155,P$2)</f>
        <v>0</v>
      </c>
      <c r="R106" s="13">
        <f>-Q107</f>
        <v>0</v>
      </c>
      <c r="S106" s="13">
        <f>-Q108</f>
        <v>0</v>
      </c>
      <c r="T106" s="13">
        <f>-Q109</f>
        <v>0</v>
      </c>
      <c r="U106" s="13">
        <f>-Q110</f>
        <v>-1</v>
      </c>
      <c r="V106" s="13">
        <f>-Q111</f>
        <v>0</v>
      </c>
      <c r="W106" s="13">
        <f>-Q112</f>
        <v>0</v>
      </c>
      <c r="X106" s="14">
        <f>-Q113</f>
        <v>0</v>
      </c>
      <c r="Y106" s="19">
        <f t="shared" si="29"/>
        <v>0</v>
      </c>
      <c r="Z106" s="19"/>
      <c r="AA106" s="19"/>
      <c r="AB106" s="19"/>
      <c r="AC106" s="19"/>
    </row>
    <row r="107" spans="1:29" x14ac:dyDescent="0.25">
      <c r="A107" s="9">
        <v>43662</v>
      </c>
      <c r="B107" s="38" t="s">
        <v>15</v>
      </c>
      <c r="C107" s="38" t="s">
        <v>17</v>
      </c>
      <c r="D107" s="39">
        <v>7</v>
      </c>
      <c r="E107" s="38" t="s">
        <v>18</v>
      </c>
      <c r="F107" s="39">
        <v>4</v>
      </c>
      <c r="G107" s="39">
        <v>1</v>
      </c>
      <c r="H107" s="38" t="s">
        <v>14</v>
      </c>
      <c r="I107" s="38" t="s">
        <v>25</v>
      </c>
      <c r="J107" s="39">
        <v>2</v>
      </c>
      <c r="K107" s="39">
        <v>8</v>
      </c>
      <c r="L107" s="57" t="s">
        <v>5</v>
      </c>
      <c r="M107" s="70" t="s">
        <v>20</v>
      </c>
      <c r="N107" s="20">
        <v>4</v>
      </c>
      <c r="O107" s="64">
        <f t="shared" si="28"/>
        <v>0</v>
      </c>
      <c r="P107" s="13">
        <f t="shared" si="30"/>
        <v>0</v>
      </c>
      <c r="Q107" s="13">
        <f t="shared" ref="Q107:Q113" si="31">VLOOKUP(N107,$N$87:$AB$100,4,FALSE)-HLOOKUP(M107,$O$86:$AB$100,4,FALSE)</f>
        <v>0</v>
      </c>
      <c r="R107" s="13">
        <f>COUNTIF($E$4:$E$155,Q$2)</f>
        <v>0</v>
      </c>
      <c r="S107" s="13">
        <f>-R108</f>
        <v>1</v>
      </c>
      <c r="T107" s="13">
        <f>-R109</f>
        <v>0</v>
      </c>
      <c r="U107" s="13">
        <f>-R110</f>
        <v>0</v>
      </c>
      <c r="V107" s="13">
        <f>-R111</f>
        <v>0</v>
      </c>
      <c r="W107" s="13">
        <f>-R112</f>
        <v>5</v>
      </c>
      <c r="X107" s="14">
        <f>-R113</f>
        <v>-6</v>
      </c>
      <c r="Y107" s="19">
        <f t="shared" si="29"/>
        <v>0</v>
      </c>
      <c r="Z107" s="19"/>
      <c r="AA107" s="19"/>
      <c r="AB107" s="19"/>
      <c r="AC107" s="19"/>
    </row>
    <row r="108" spans="1:29" x14ac:dyDescent="0.25">
      <c r="A108" s="9">
        <v>43663</v>
      </c>
      <c r="B108" s="40" t="s">
        <v>27</v>
      </c>
      <c r="C108" s="40" t="s">
        <v>27</v>
      </c>
      <c r="D108" s="40" t="s">
        <v>27</v>
      </c>
      <c r="E108" s="40" t="s">
        <v>27</v>
      </c>
      <c r="F108" s="40" t="s">
        <v>27</v>
      </c>
      <c r="G108" s="40" t="s">
        <v>27</v>
      </c>
      <c r="H108" s="40" t="s">
        <v>27</v>
      </c>
      <c r="I108" s="40" t="s">
        <v>27</v>
      </c>
      <c r="J108" s="40" t="s">
        <v>27</v>
      </c>
      <c r="K108" s="40" t="s">
        <v>27</v>
      </c>
      <c r="L108" s="57" t="s">
        <v>6</v>
      </c>
      <c r="M108" s="70" t="s">
        <v>18</v>
      </c>
      <c r="N108" s="20">
        <v>5</v>
      </c>
      <c r="O108" s="64">
        <f t="shared" si="28"/>
        <v>6</v>
      </c>
      <c r="P108" s="13">
        <f t="shared" si="30"/>
        <v>1</v>
      </c>
      <c r="Q108" s="13">
        <f t="shared" si="31"/>
        <v>0</v>
      </c>
      <c r="R108" s="13">
        <f t="shared" ref="R108:R113" si="32">VLOOKUP(N108,$N$87:$AB$100,5,FALSE)-HLOOKUP(M108,$O$86:$AB$100,5,FALSE)</f>
        <v>-1</v>
      </c>
      <c r="S108" s="13">
        <f>COUNTIF($F$4:$F$155,R$2)</f>
        <v>0</v>
      </c>
      <c r="T108" s="13">
        <f>-S109</f>
        <v>-5</v>
      </c>
      <c r="U108" s="13">
        <f>-S110</f>
        <v>0</v>
      </c>
      <c r="V108" s="13">
        <f>-S111</f>
        <v>-1</v>
      </c>
      <c r="W108" s="13">
        <f>-S112</f>
        <v>0</v>
      </c>
      <c r="X108" s="14">
        <f>-S113</f>
        <v>0</v>
      </c>
      <c r="Y108" s="19">
        <f t="shared" si="29"/>
        <v>0</v>
      </c>
      <c r="Z108" s="19"/>
      <c r="AA108" s="19"/>
      <c r="AB108" s="19"/>
      <c r="AC108" s="19"/>
    </row>
    <row r="109" spans="1:29" x14ac:dyDescent="0.25">
      <c r="A109" s="9">
        <v>43664</v>
      </c>
      <c r="B109" s="39">
        <v>9</v>
      </c>
      <c r="C109" s="39">
        <v>6</v>
      </c>
      <c r="D109" s="38" t="s">
        <v>20</v>
      </c>
      <c r="E109" s="39">
        <v>3</v>
      </c>
      <c r="F109" s="38" t="s">
        <v>16</v>
      </c>
      <c r="G109" s="38" t="s">
        <v>19</v>
      </c>
      <c r="H109" s="39">
        <v>10</v>
      </c>
      <c r="I109" s="39">
        <v>5</v>
      </c>
      <c r="J109" s="38" t="s">
        <v>23</v>
      </c>
      <c r="K109" s="38" t="s">
        <v>21</v>
      </c>
      <c r="L109" s="57" t="s">
        <v>7</v>
      </c>
      <c r="M109" s="70" t="s">
        <v>15</v>
      </c>
      <c r="N109" s="20">
        <v>6</v>
      </c>
      <c r="O109" s="64">
        <f t="shared" si="28"/>
        <v>-1</v>
      </c>
      <c r="P109" s="13">
        <f t="shared" si="30"/>
        <v>-1</v>
      </c>
      <c r="Q109" s="13">
        <f t="shared" si="31"/>
        <v>0</v>
      </c>
      <c r="R109" s="13">
        <f t="shared" si="32"/>
        <v>0</v>
      </c>
      <c r="S109" s="13">
        <f t="shared" ref="S109:S113" si="33">VLOOKUP(N109,$N$87:$AB$100,6,FALSE)-HLOOKUP(M109,$O$86:$AB$100,6,FALSE)</f>
        <v>5</v>
      </c>
      <c r="T109" s="13">
        <f>COUNTIF($G$4:$G$155,S$2)</f>
        <v>0</v>
      </c>
      <c r="U109" s="13">
        <f>-T110</f>
        <v>-4</v>
      </c>
      <c r="V109" s="13">
        <f>-T111</f>
        <v>1</v>
      </c>
      <c r="W109" s="13">
        <f>-T112</f>
        <v>0</v>
      </c>
      <c r="X109" s="14">
        <f>-T113</f>
        <v>0</v>
      </c>
      <c r="Y109" s="19">
        <f t="shared" si="29"/>
        <v>0</v>
      </c>
      <c r="Z109" s="19"/>
      <c r="AA109" s="19"/>
      <c r="AB109" s="19"/>
      <c r="AC109" s="19"/>
    </row>
    <row r="110" spans="1:29" x14ac:dyDescent="0.25">
      <c r="A110" s="9">
        <v>43665</v>
      </c>
      <c r="B110" s="39">
        <v>9</v>
      </c>
      <c r="C110" s="39">
        <v>6</v>
      </c>
      <c r="D110" s="38" t="s">
        <v>20</v>
      </c>
      <c r="E110" s="39">
        <v>3</v>
      </c>
      <c r="F110" s="38" t="s">
        <v>16</v>
      </c>
      <c r="G110" s="38" t="s">
        <v>19</v>
      </c>
      <c r="H110" s="39">
        <v>10</v>
      </c>
      <c r="I110" s="39">
        <v>5</v>
      </c>
      <c r="J110" s="38" t="s">
        <v>23</v>
      </c>
      <c r="K110" s="38" t="s">
        <v>21</v>
      </c>
      <c r="L110" s="57" t="s">
        <v>1</v>
      </c>
      <c r="M110" s="70" t="s">
        <v>21</v>
      </c>
      <c r="N110" s="20">
        <v>7</v>
      </c>
      <c r="O110" s="64">
        <f t="shared" si="28"/>
        <v>0</v>
      </c>
      <c r="P110" s="13">
        <f t="shared" si="30"/>
        <v>-5</v>
      </c>
      <c r="Q110" s="13">
        <f t="shared" si="31"/>
        <v>1</v>
      </c>
      <c r="R110" s="13">
        <f t="shared" si="32"/>
        <v>0</v>
      </c>
      <c r="S110" s="13">
        <f t="shared" si="33"/>
        <v>0</v>
      </c>
      <c r="T110" s="13">
        <f t="shared" ref="T110:T113" si="34">VLOOKUP(N110,$N$87:$AB$100,7,FALSE)-HLOOKUP(M110,$O$86:$AB$100,7,FALSE)</f>
        <v>4</v>
      </c>
      <c r="U110" s="13">
        <f>COUNTIF($H$4:$H$155,T$2)</f>
        <v>0</v>
      </c>
      <c r="V110" s="13">
        <f>-U111</f>
        <v>0</v>
      </c>
      <c r="W110" s="13">
        <f>-U112</f>
        <v>-1</v>
      </c>
      <c r="X110" s="14">
        <f>-U113</f>
        <v>1</v>
      </c>
      <c r="Y110" s="19">
        <f t="shared" si="29"/>
        <v>0</v>
      </c>
      <c r="Z110" s="19"/>
      <c r="AA110" s="19"/>
      <c r="AB110" s="19"/>
      <c r="AC110" s="19"/>
    </row>
    <row r="111" spans="1:29" x14ac:dyDescent="0.25">
      <c r="A111" s="9">
        <v>43666</v>
      </c>
      <c r="B111" s="39">
        <v>9</v>
      </c>
      <c r="C111" s="39">
        <v>6</v>
      </c>
      <c r="D111" s="38" t="s">
        <v>20</v>
      </c>
      <c r="E111" s="39">
        <v>3</v>
      </c>
      <c r="F111" s="38" t="s">
        <v>16</v>
      </c>
      <c r="G111" s="38" t="s">
        <v>19</v>
      </c>
      <c r="H111" s="39">
        <v>10</v>
      </c>
      <c r="I111" s="39">
        <v>5</v>
      </c>
      <c r="J111" s="38" t="s">
        <v>23</v>
      </c>
      <c r="K111" s="38" t="s">
        <v>21</v>
      </c>
      <c r="L111" s="57" t="s">
        <v>2</v>
      </c>
      <c r="M111" s="70" t="s">
        <v>16</v>
      </c>
      <c r="N111" s="20">
        <v>8</v>
      </c>
      <c r="O111" s="64">
        <f t="shared" si="28"/>
        <v>0</v>
      </c>
      <c r="P111" s="13">
        <f t="shared" si="30"/>
        <v>0</v>
      </c>
      <c r="Q111" s="13">
        <f t="shared" si="31"/>
        <v>0</v>
      </c>
      <c r="R111" s="13">
        <f t="shared" si="32"/>
        <v>0</v>
      </c>
      <c r="S111" s="13">
        <f t="shared" si="33"/>
        <v>1</v>
      </c>
      <c r="T111" s="13">
        <f t="shared" si="34"/>
        <v>-1</v>
      </c>
      <c r="U111" s="13">
        <f t="shared" ref="U111:U113" si="35">VLOOKUP(N111,$N$87:$AB$100,8,FALSE)-HLOOKUP(M111,$O$86:$AB$100,8,FALSE)</f>
        <v>0</v>
      </c>
      <c r="V111" s="13">
        <f>COUNTIF($I$4:$I$155,U$2)</f>
        <v>0</v>
      </c>
      <c r="W111" s="13">
        <f>-V112</f>
        <v>-6</v>
      </c>
      <c r="X111" s="14">
        <f>-V113</f>
        <v>6</v>
      </c>
      <c r="Y111" s="19">
        <f t="shared" si="29"/>
        <v>0</v>
      </c>
      <c r="Z111" s="19"/>
      <c r="AA111" s="19"/>
      <c r="AB111" s="19"/>
      <c r="AC111" s="19"/>
    </row>
    <row r="112" spans="1:29" x14ac:dyDescent="0.25">
      <c r="A112" s="9">
        <v>43667</v>
      </c>
      <c r="B112" s="39">
        <v>9</v>
      </c>
      <c r="C112" s="39">
        <v>6</v>
      </c>
      <c r="D112" s="38" t="s">
        <v>20</v>
      </c>
      <c r="E112" s="39">
        <v>3</v>
      </c>
      <c r="F112" s="38" t="s">
        <v>16</v>
      </c>
      <c r="G112" s="38" t="s">
        <v>19</v>
      </c>
      <c r="H112" s="39">
        <v>10</v>
      </c>
      <c r="I112" s="39">
        <v>5</v>
      </c>
      <c r="J112" s="38" t="s">
        <v>23</v>
      </c>
      <c r="K112" s="38" t="s">
        <v>21</v>
      </c>
      <c r="L112" s="57" t="s">
        <v>3</v>
      </c>
      <c r="M112" s="70" t="s">
        <v>17</v>
      </c>
      <c r="N112" s="20">
        <v>9</v>
      </c>
      <c r="O112" s="64">
        <f t="shared" si="28"/>
        <v>-1</v>
      </c>
      <c r="P112" s="13">
        <f t="shared" si="30"/>
        <v>-1</v>
      </c>
      <c r="Q112" s="13">
        <f t="shared" si="31"/>
        <v>0</v>
      </c>
      <c r="R112" s="13">
        <f t="shared" si="32"/>
        <v>-5</v>
      </c>
      <c r="S112" s="13">
        <f t="shared" si="33"/>
        <v>0</v>
      </c>
      <c r="T112" s="13">
        <f t="shared" si="34"/>
        <v>0</v>
      </c>
      <c r="U112" s="13">
        <f t="shared" si="35"/>
        <v>1</v>
      </c>
      <c r="V112" s="13">
        <f t="shared" ref="V112:V113" si="36">VLOOKUP(N112,$N$87:$AB$100,9,FALSE)-HLOOKUP(M112,$O$86:$AB$100,9,FALSE)</f>
        <v>6</v>
      </c>
      <c r="W112" s="13">
        <f>COUNTIF($J$4:$J$155,V$2)</f>
        <v>0</v>
      </c>
      <c r="X112" s="14">
        <f>-W113</f>
        <v>0</v>
      </c>
      <c r="Y112" s="19">
        <f t="shared" si="29"/>
        <v>0</v>
      </c>
      <c r="Z112" s="19"/>
      <c r="AA112" s="19"/>
      <c r="AB112" s="19"/>
      <c r="AC112" s="19"/>
    </row>
    <row r="113" spans="1:29" x14ac:dyDescent="0.25">
      <c r="A113" s="9">
        <v>43668</v>
      </c>
      <c r="B113" s="38" t="s">
        <v>14</v>
      </c>
      <c r="C113" s="38" t="s">
        <v>18</v>
      </c>
      <c r="D113" s="39">
        <v>1</v>
      </c>
      <c r="E113" s="38" t="s">
        <v>25</v>
      </c>
      <c r="F113" s="39">
        <v>2</v>
      </c>
      <c r="G113" s="39">
        <v>7</v>
      </c>
      <c r="H113" s="38" t="s">
        <v>15</v>
      </c>
      <c r="I113" s="38" t="s">
        <v>17</v>
      </c>
      <c r="J113" s="39">
        <v>8</v>
      </c>
      <c r="K113" s="39">
        <v>4</v>
      </c>
      <c r="L113" s="57" t="s">
        <v>4</v>
      </c>
      <c r="M113" s="70" t="s">
        <v>25</v>
      </c>
      <c r="N113" s="20">
        <v>10</v>
      </c>
      <c r="O113" s="60">
        <f t="shared" si="28"/>
        <v>0</v>
      </c>
      <c r="P113" s="15">
        <f t="shared" si="30"/>
        <v>1</v>
      </c>
      <c r="Q113" s="15">
        <f t="shared" si="31"/>
        <v>0</v>
      </c>
      <c r="R113" s="15">
        <f t="shared" si="32"/>
        <v>6</v>
      </c>
      <c r="S113" s="15">
        <f t="shared" si="33"/>
        <v>0</v>
      </c>
      <c r="T113" s="15">
        <f t="shared" si="34"/>
        <v>0</v>
      </c>
      <c r="U113" s="15">
        <f t="shared" si="35"/>
        <v>-1</v>
      </c>
      <c r="V113" s="15">
        <f t="shared" si="36"/>
        <v>-6</v>
      </c>
      <c r="W113" s="15">
        <f>VLOOKUP(N113,$N$87:$AB$100,10,FALSE)-HLOOKUP(M113,$O$86:$AB$100,10,FALSE)</f>
        <v>0</v>
      </c>
      <c r="X113" s="4">
        <f>COUNTIF($K$4:$K$155,W$2)</f>
        <v>0</v>
      </c>
      <c r="Y113" s="19">
        <f t="shared" si="29"/>
        <v>0</v>
      </c>
      <c r="Z113" s="19"/>
      <c r="AA113" s="19"/>
      <c r="AB113" s="19"/>
      <c r="AC113" s="19"/>
    </row>
    <row r="114" spans="1:29" x14ac:dyDescent="0.25">
      <c r="A114" s="9">
        <v>43669</v>
      </c>
      <c r="B114" s="38" t="s">
        <v>14</v>
      </c>
      <c r="C114" s="38" t="s">
        <v>18</v>
      </c>
      <c r="D114" s="39">
        <v>1</v>
      </c>
      <c r="E114" s="38" t="s">
        <v>25</v>
      </c>
      <c r="F114" s="39">
        <v>2</v>
      </c>
      <c r="G114" s="39">
        <v>7</v>
      </c>
      <c r="H114" s="38" t="s">
        <v>15</v>
      </c>
      <c r="I114" s="38" t="s">
        <v>17</v>
      </c>
      <c r="J114" s="39">
        <v>8</v>
      </c>
      <c r="K114" s="39">
        <v>4</v>
      </c>
      <c r="L114" s="57" t="s">
        <v>5</v>
      </c>
      <c r="M114" s="70"/>
      <c r="N114" s="20" t="s">
        <v>9</v>
      </c>
      <c r="O114" s="57">
        <f>SUM(O104:O113)</f>
        <v>0</v>
      </c>
      <c r="P114" s="37">
        <f t="shared" ref="P114" si="37">SUM(P104:P113)</f>
        <v>0</v>
      </c>
      <c r="Q114" s="37">
        <f t="shared" ref="Q114" si="38">SUM(Q104:Q113)</f>
        <v>0</v>
      </c>
      <c r="R114" s="37">
        <f t="shared" ref="R114" si="39">SUM(R104:R113)</f>
        <v>0</v>
      </c>
      <c r="S114" s="37">
        <f t="shared" ref="S114" si="40">SUM(S104:S113)</f>
        <v>0</v>
      </c>
      <c r="T114" s="37">
        <f t="shared" ref="T114" si="41">SUM(T104:T113)</f>
        <v>0</v>
      </c>
      <c r="U114" s="37">
        <f t="shared" ref="U114" si="42">SUM(U104:U113)</f>
        <v>0</v>
      </c>
      <c r="V114" s="37">
        <f t="shared" ref="V114" si="43">SUM(V104:V113)</f>
        <v>0</v>
      </c>
      <c r="W114" s="37">
        <f t="shared" ref="W114" si="44">SUM(W104:W113)</f>
        <v>0</v>
      </c>
      <c r="X114" s="37">
        <f t="shared" ref="X114" si="45">SUM(X104:X113)</f>
        <v>0</v>
      </c>
      <c r="Y114" s="19"/>
      <c r="Z114" s="19"/>
      <c r="AA114" s="19"/>
      <c r="AB114" s="19"/>
      <c r="AC114" s="19"/>
    </row>
    <row r="115" spans="1:29" x14ac:dyDescent="0.25">
      <c r="A115" s="9">
        <v>43670</v>
      </c>
      <c r="B115" s="38" t="s">
        <v>14</v>
      </c>
      <c r="C115" s="38" t="s">
        <v>18</v>
      </c>
      <c r="D115" s="39">
        <v>1</v>
      </c>
      <c r="E115" s="38" t="s">
        <v>25</v>
      </c>
      <c r="F115" s="39">
        <v>2</v>
      </c>
      <c r="G115" s="39">
        <v>7</v>
      </c>
      <c r="H115" s="38" t="s">
        <v>15</v>
      </c>
      <c r="I115" s="38" t="s">
        <v>17</v>
      </c>
      <c r="J115" s="39">
        <v>8</v>
      </c>
      <c r="K115" s="39">
        <v>4</v>
      </c>
      <c r="L115" s="57" t="s">
        <v>6</v>
      </c>
      <c r="M115" s="70"/>
      <c r="N115" s="50"/>
      <c r="O115" s="61"/>
      <c r="P115" s="13"/>
      <c r="Q115" s="13"/>
      <c r="R115" s="13"/>
      <c r="S115" s="13"/>
      <c r="T115" s="13"/>
      <c r="U115" s="13"/>
      <c r="V115" s="13"/>
      <c r="W115" s="13"/>
      <c r="X115" s="13"/>
      <c r="Y115" s="19"/>
      <c r="Z115" s="19"/>
      <c r="AA115" s="19"/>
      <c r="AB115" s="19"/>
      <c r="AC115" s="19"/>
    </row>
    <row r="116" spans="1:29" x14ac:dyDescent="0.25">
      <c r="A116" s="9">
        <v>43671</v>
      </c>
      <c r="B116" s="38" t="s">
        <v>14</v>
      </c>
      <c r="C116" s="38" t="s">
        <v>18</v>
      </c>
      <c r="D116" s="39">
        <v>1</v>
      </c>
      <c r="E116" s="38" t="s">
        <v>25</v>
      </c>
      <c r="F116" s="39">
        <v>2</v>
      </c>
      <c r="G116" s="39">
        <v>7</v>
      </c>
      <c r="H116" s="38" t="s">
        <v>15</v>
      </c>
      <c r="I116" s="38" t="s">
        <v>17</v>
      </c>
      <c r="J116" s="39">
        <v>8</v>
      </c>
      <c r="K116" s="39">
        <v>4</v>
      </c>
      <c r="L116" s="57" t="s">
        <v>7</v>
      </c>
      <c r="M116" s="70"/>
      <c r="N116" s="62" t="s">
        <v>56</v>
      </c>
      <c r="O116" s="68" t="s">
        <v>57</v>
      </c>
      <c r="P116" s="17" t="s">
        <v>58</v>
      </c>
      <c r="Q116" s="13"/>
      <c r="R116" s="13"/>
      <c r="S116" s="13"/>
      <c r="T116" s="13"/>
      <c r="U116" s="13"/>
      <c r="V116" s="13"/>
      <c r="W116" s="13"/>
      <c r="X116" s="13"/>
      <c r="Y116" s="19"/>
      <c r="Z116" s="19"/>
      <c r="AA116" s="19"/>
      <c r="AB116" s="19"/>
      <c r="AC116" s="19"/>
    </row>
    <row r="117" spans="1:29" x14ac:dyDescent="0.25">
      <c r="A117" s="9">
        <v>43672</v>
      </c>
      <c r="B117" s="38" t="s">
        <v>14</v>
      </c>
      <c r="C117" s="38" t="s">
        <v>18</v>
      </c>
      <c r="D117" s="39">
        <v>1</v>
      </c>
      <c r="E117" s="38" t="s">
        <v>25</v>
      </c>
      <c r="F117" s="39">
        <v>2</v>
      </c>
      <c r="G117" s="39">
        <v>7</v>
      </c>
      <c r="H117" s="38" t="s">
        <v>15</v>
      </c>
      <c r="I117" s="38" t="s">
        <v>17</v>
      </c>
      <c r="J117" s="39">
        <v>8</v>
      </c>
      <c r="K117" s="39">
        <v>4</v>
      </c>
      <c r="L117" s="57" t="s">
        <v>1</v>
      </c>
      <c r="M117" s="70"/>
      <c r="N117" s="20">
        <v>1</v>
      </c>
      <c r="O117" s="63">
        <v>2</v>
      </c>
      <c r="P117" s="12">
        <v>2</v>
      </c>
      <c r="Q117" s="13"/>
      <c r="R117" s="13"/>
      <c r="S117" s="13"/>
      <c r="T117" s="13"/>
      <c r="U117" s="13"/>
      <c r="V117" s="13"/>
      <c r="W117" s="13"/>
      <c r="X117" s="13"/>
      <c r="Y117" s="19"/>
      <c r="Z117" s="19"/>
      <c r="AA117" s="19"/>
      <c r="AB117" s="19"/>
      <c r="AC117" s="19"/>
    </row>
    <row r="118" spans="1:29" x14ac:dyDescent="0.25">
      <c r="A118" s="9">
        <v>43673</v>
      </c>
      <c r="B118" s="38" t="s">
        <v>20</v>
      </c>
      <c r="C118" s="39">
        <v>3</v>
      </c>
      <c r="D118" s="38" t="s">
        <v>19</v>
      </c>
      <c r="E118" s="39">
        <v>1</v>
      </c>
      <c r="F118" s="39">
        <v>6</v>
      </c>
      <c r="G118" s="38" t="s">
        <v>18</v>
      </c>
      <c r="H118" s="39">
        <v>9</v>
      </c>
      <c r="I118" s="38" t="s">
        <v>25</v>
      </c>
      <c r="J118" s="38" t="s">
        <v>21</v>
      </c>
      <c r="K118" s="39">
        <v>8</v>
      </c>
      <c r="L118" s="57" t="s">
        <v>2</v>
      </c>
      <c r="M118" s="57"/>
      <c r="N118" s="20">
        <v>2</v>
      </c>
      <c r="O118" s="64">
        <v>2</v>
      </c>
      <c r="P118" s="14">
        <v>2</v>
      </c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</row>
    <row r="119" spans="1:29" x14ac:dyDescent="0.25">
      <c r="A119" s="9">
        <v>43674</v>
      </c>
      <c r="B119" s="38" t="s">
        <v>20</v>
      </c>
      <c r="C119" s="39">
        <v>3</v>
      </c>
      <c r="D119" s="38" t="s">
        <v>19</v>
      </c>
      <c r="E119" s="39">
        <v>1</v>
      </c>
      <c r="F119" s="39">
        <v>6</v>
      </c>
      <c r="G119" s="38" t="s">
        <v>18</v>
      </c>
      <c r="H119" s="39">
        <v>9</v>
      </c>
      <c r="I119" s="38" t="s">
        <v>25</v>
      </c>
      <c r="J119" s="38" t="s">
        <v>21</v>
      </c>
      <c r="K119" s="39">
        <v>8</v>
      </c>
      <c r="L119" s="57" t="s">
        <v>3</v>
      </c>
      <c r="M119" s="57"/>
      <c r="N119" s="20">
        <v>3</v>
      </c>
      <c r="O119" s="64">
        <v>2</v>
      </c>
      <c r="P119" s="14">
        <v>2</v>
      </c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</row>
    <row r="120" spans="1:29" x14ac:dyDescent="0.25">
      <c r="A120" s="9">
        <v>43675</v>
      </c>
      <c r="B120" s="38" t="s">
        <v>20</v>
      </c>
      <c r="C120" s="39">
        <v>3</v>
      </c>
      <c r="D120" s="38" t="s">
        <v>19</v>
      </c>
      <c r="E120" s="39">
        <v>1</v>
      </c>
      <c r="F120" s="39">
        <v>6</v>
      </c>
      <c r="G120" s="38" t="s">
        <v>18</v>
      </c>
      <c r="H120" s="39">
        <v>9</v>
      </c>
      <c r="I120" s="38" t="s">
        <v>25</v>
      </c>
      <c r="J120" s="38" t="s">
        <v>21</v>
      </c>
      <c r="K120" s="39">
        <v>8</v>
      </c>
      <c r="L120" s="57" t="s">
        <v>4</v>
      </c>
      <c r="M120" s="57"/>
      <c r="N120" s="20">
        <v>4</v>
      </c>
      <c r="O120" s="64">
        <v>1</v>
      </c>
      <c r="P120" s="14">
        <v>2</v>
      </c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</row>
    <row r="121" spans="1:29" x14ac:dyDescent="0.25">
      <c r="A121" s="9">
        <v>43676</v>
      </c>
      <c r="B121" s="38" t="s">
        <v>20</v>
      </c>
      <c r="C121" s="39">
        <v>3</v>
      </c>
      <c r="D121" s="38" t="s">
        <v>19</v>
      </c>
      <c r="E121" s="39">
        <v>1</v>
      </c>
      <c r="F121" s="39">
        <v>6</v>
      </c>
      <c r="G121" s="38" t="s">
        <v>18</v>
      </c>
      <c r="H121" s="39">
        <v>9</v>
      </c>
      <c r="I121" s="38" t="s">
        <v>25</v>
      </c>
      <c r="J121" s="38" t="s">
        <v>21</v>
      </c>
      <c r="K121" s="39">
        <v>8</v>
      </c>
      <c r="L121" s="57" t="s">
        <v>5</v>
      </c>
      <c r="M121" s="57"/>
      <c r="N121" s="20">
        <v>5</v>
      </c>
      <c r="O121" s="64">
        <v>2</v>
      </c>
      <c r="P121" s="14">
        <v>1</v>
      </c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</row>
    <row r="122" spans="1:29" x14ac:dyDescent="0.25">
      <c r="A122" s="9">
        <v>43677</v>
      </c>
      <c r="B122" s="38" t="s">
        <v>20</v>
      </c>
      <c r="C122" s="39">
        <v>3</v>
      </c>
      <c r="D122" s="38" t="s">
        <v>19</v>
      </c>
      <c r="E122" s="39">
        <v>1</v>
      </c>
      <c r="F122" s="39">
        <v>6</v>
      </c>
      <c r="G122" s="38" t="s">
        <v>18</v>
      </c>
      <c r="H122" s="39">
        <v>9</v>
      </c>
      <c r="I122" s="38" t="s">
        <v>25</v>
      </c>
      <c r="J122" s="38" t="s">
        <v>21</v>
      </c>
      <c r="K122" s="39">
        <v>8</v>
      </c>
      <c r="L122" s="57" t="s">
        <v>6</v>
      </c>
      <c r="M122" s="57"/>
      <c r="N122" s="20">
        <v>6</v>
      </c>
      <c r="O122" s="64">
        <v>1</v>
      </c>
      <c r="P122" s="14">
        <v>2</v>
      </c>
    </row>
    <row r="123" spans="1:29" x14ac:dyDescent="0.25">
      <c r="A123" s="9">
        <v>43678</v>
      </c>
      <c r="B123" s="39">
        <v>7</v>
      </c>
      <c r="C123" s="38" t="s">
        <v>15</v>
      </c>
      <c r="D123" s="39">
        <v>5</v>
      </c>
      <c r="E123" s="38" t="s">
        <v>16</v>
      </c>
      <c r="F123" s="38" t="s">
        <v>14</v>
      </c>
      <c r="G123" s="39">
        <v>2</v>
      </c>
      <c r="H123" s="38" t="s">
        <v>23</v>
      </c>
      <c r="I123" s="39">
        <v>4</v>
      </c>
      <c r="J123" s="39">
        <v>10</v>
      </c>
      <c r="K123" s="38" t="s">
        <v>17</v>
      </c>
      <c r="L123" s="57" t="s">
        <v>7</v>
      </c>
      <c r="M123" s="57"/>
      <c r="N123" s="20">
        <v>7</v>
      </c>
      <c r="O123" s="64">
        <v>2</v>
      </c>
      <c r="P123" s="14">
        <v>1</v>
      </c>
    </row>
    <row r="124" spans="1:29" x14ac:dyDescent="0.25">
      <c r="A124" s="9">
        <v>43679</v>
      </c>
      <c r="B124" s="39">
        <v>7</v>
      </c>
      <c r="C124" s="38" t="s">
        <v>15</v>
      </c>
      <c r="D124" s="39">
        <v>5</v>
      </c>
      <c r="E124" s="38" t="s">
        <v>16</v>
      </c>
      <c r="F124" s="38" t="s">
        <v>14</v>
      </c>
      <c r="G124" s="39">
        <v>2</v>
      </c>
      <c r="H124" s="38" t="s">
        <v>23</v>
      </c>
      <c r="I124" s="39">
        <v>4</v>
      </c>
      <c r="J124" s="39">
        <v>10</v>
      </c>
      <c r="K124" s="38" t="s">
        <v>17</v>
      </c>
      <c r="L124" s="57" t="s">
        <v>1</v>
      </c>
      <c r="M124" s="57"/>
      <c r="N124" s="20">
        <v>8</v>
      </c>
      <c r="O124" s="64">
        <v>1</v>
      </c>
      <c r="P124" s="14">
        <v>2</v>
      </c>
    </row>
    <row r="125" spans="1:29" x14ac:dyDescent="0.25">
      <c r="A125" s="9">
        <v>43680</v>
      </c>
      <c r="B125" s="39">
        <v>7</v>
      </c>
      <c r="C125" s="38" t="s">
        <v>15</v>
      </c>
      <c r="D125" s="39">
        <v>5</v>
      </c>
      <c r="E125" s="38" t="s">
        <v>16</v>
      </c>
      <c r="F125" s="38" t="s">
        <v>14</v>
      </c>
      <c r="G125" s="39">
        <v>2</v>
      </c>
      <c r="H125" s="38" t="s">
        <v>23</v>
      </c>
      <c r="I125" s="39">
        <v>4</v>
      </c>
      <c r="J125" s="39">
        <v>10</v>
      </c>
      <c r="K125" s="38" t="s">
        <v>17</v>
      </c>
      <c r="L125" s="57" t="s">
        <v>2</v>
      </c>
      <c r="M125" s="57"/>
      <c r="N125" s="20">
        <v>9</v>
      </c>
      <c r="O125" s="64">
        <v>2</v>
      </c>
      <c r="P125" s="14">
        <v>1</v>
      </c>
    </row>
    <row r="126" spans="1:29" x14ac:dyDescent="0.25">
      <c r="A126" s="9">
        <v>43681</v>
      </c>
      <c r="B126" s="39">
        <v>7</v>
      </c>
      <c r="C126" s="38" t="s">
        <v>15</v>
      </c>
      <c r="D126" s="39">
        <v>5</v>
      </c>
      <c r="E126" s="38" t="s">
        <v>16</v>
      </c>
      <c r="F126" s="38" t="s">
        <v>14</v>
      </c>
      <c r="G126" s="39">
        <v>2</v>
      </c>
      <c r="H126" s="38" t="s">
        <v>23</v>
      </c>
      <c r="I126" s="39">
        <v>4</v>
      </c>
      <c r="J126" s="39">
        <v>10</v>
      </c>
      <c r="K126" s="38" t="s">
        <v>17</v>
      </c>
      <c r="L126" s="57" t="s">
        <v>3</v>
      </c>
      <c r="M126" s="57"/>
      <c r="N126" s="20">
        <v>10</v>
      </c>
      <c r="O126" s="60">
        <v>2</v>
      </c>
      <c r="P126" s="4">
        <v>2</v>
      </c>
    </row>
    <row r="127" spans="1:29" x14ac:dyDescent="0.25">
      <c r="A127" s="9">
        <v>43682</v>
      </c>
      <c r="B127" s="39">
        <v>7</v>
      </c>
      <c r="C127" s="38" t="s">
        <v>15</v>
      </c>
      <c r="D127" s="39">
        <v>5</v>
      </c>
      <c r="E127" s="38" t="s">
        <v>16</v>
      </c>
      <c r="F127" s="38" t="s">
        <v>14</v>
      </c>
      <c r="G127" s="39">
        <v>2</v>
      </c>
      <c r="H127" s="38" t="s">
        <v>23</v>
      </c>
      <c r="I127" s="39">
        <v>4</v>
      </c>
      <c r="J127" s="39">
        <v>10</v>
      </c>
      <c r="K127" s="38" t="s">
        <v>17</v>
      </c>
      <c r="L127" s="57" t="s">
        <v>4</v>
      </c>
      <c r="M127" s="57"/>
      <c r="N127" s="57"/>
      <c r="O127" s="57"/>
    </row>
    <row r="128" spans="1:29" x14ac:dyDescent="0.25">
      <c r="A128" s="9">
        <v>43683</v>
      </c>
      <c r="B128" s="40" t="s">
        <v>27</v>
      </c>
      <c r="C128" s="40" t="s">
        <v>27</v>
      </c>
      <c r="D128" s="40" t="s">
        <v>27</v>
      </c>
      <c r="E128" s="40" t="s">
        <v>27</v>
      </c>
      <c r="F128" s="40" t="s">
        <v>27</v>
      </c>
      <c r="G128" s="40" t="s">
        <v>27</v>
      </c>
      <c r="H128" s="40" t="s">
        <v>27</v>
      </c>
      <c r="I128" s="40" t="s">
        <v>27</v>
      </c>
      <c r="J128" s="40" t="s">
        <v>27</v>
      </c>
      <c r="K128" s="40" t="s">
        <v>27</v>
      </c>
      <c r="L128" s="57" t="s">
        <v>5</v>
      </c>
      <c r="M128" s="57"/>
      <c r="N128" s="57"/>
      <c r="O128" s="57"/>
    </row>
    <row r="129" spans="1:15" x14ac:dyDescent="0.25">
      <c r="A129" s="9">
        <v>43684</v>
      </c>
      <c r="B129" s="38" t="s">
        <v>16</v>
      </c>
      <c r="C129" s="39">
        <v>9</v>
      </c>
      <c r="D129" s="38" t="s">
        <v>21</v>
      </c>
      <c r="E129" s="39">
        <v>5</v>
      </c>
      <c r="F129" s="38" t="s">
        <v>20</v>
      </c>
      <c r="G129" s="38" t="s">
        <v>25</v>
      </c>
      <c r="H129" s="39">
        <v>3</v>
      </c>
      <c r="I129" s="39">
        <v>1</v>
      </c>
      <c r="J129" s="38" t="s">
        <v>19</v>
      </c>
      <c r="K129" s="39">
        <v>6</v>
      </c>
      <c r="L129" s="57" t="s">
        <v>6</v>
      </c>
      <c r="M129" s="57"/>
      <c r="N129" s="57"/>
      <c r="O129" s="57"/>
    </row>
    <row r="130" spans="1:15" x14ac:dyDescent="0.25">
      <c r="A130" s="9">
        <v>43685</v>
      </c>
      <c r="B130" s="38" t="s">
        <v>16</v>
      </c>
      <c r="C130" s="39">
        <v>9</v>
      </c>
      <c r="D130" s="38" t="s">
        <v>21</v>
      </c>
      <c r="E130" s="39">
        <v>5</v>
      </c>
      <c r="F130" s="38" t="s">
        <v>20</v>
      </c>
      <c r="G130" s="38" t="s">
        <v>25</v>
      </c>
      <c r="H130" s="39">
        <v>3</v>
      </c>
      <c r="I130" s="39">
        <v>1</v>
      </c>
      <c r="J130" s="38" t="s">
        <v>19</v>
      </c>
      <c r="K130" s="39">
        <v>6</v>
      </c>
      <c r="L130" s="57" t="s">
        <v>7</v>
      </c>
      <c r="M130" s="57"/>
      <c r="N130" s="57"/>
      <c r="O130" s="57"/>
    </row>
    <row r="131" spans="1:15" x14ac:dyDescent="0.25">
      <c r="A131" s="9">
        <v>43686</v>
      </c>
      <c r="B131" s="38" t="s">
        <v>16</v>
      </c>
      <c r="C131" s="39">
        <v>9</v>
      </c>
      <c r="D131" s="38" t="s">
        <v>21</v>
      </c>
      <c r="E131" s="39">
        <v>5</v>
      </c>
      <c r="F131" s="38" t="s">
        <v>20</v>
      </c>
      <c r="G131" s="38" t="s">
        <v>25</v>
      </c>
      <c r="H131" s="39">
        <v>3</v>
      </c>
      <c r="I131" s="39">
        <v>1</v>
      </c>
      <c r="J131" s="38" t="s">
        <v>19</v>
      </c>
      <c r="K131" s="39">
        <v>6</v>
      </c>
      <c r="L131" s="57" t="s">
        <v>1</v>
      </c>
      <c r="M131" s="57"/>
      <c r="N131" s="57"/>
      <c r="O131" s="57"/>
    </row>
    <row r="132" spans="1:15" x14ac:dyDescent="0.25">
      <c r="A132" s="9">
        <v>43687</v>
      </c>
      <c r="B132" s="38" t="s">
        <v>16</v>
      </c>
      <c r="C132" s="39">
        <v>9</v>
      </c>
      <c r="D132" s="38" t="s">
        <v>21</v>
      </c>
      <c r="E132" s="39">
        <v>5</v>
      </c>
      <c r="F132" s="38" t="s">
        <v>20</v>
      </c>
      <c r="G132" s="38" t="s">
        <v>25</v>
      </c>
      <c r="H132" s="39">
        <v>3</v>
      </c>
      <c r="I132" s="39">
        <v>1</v>
      </c>
      <c r="J132" s="38" t="s">
        <v>19</v>
      </c>
      <c r="K132" s="39">
        <v>6</v>
      </c>
      <c r="L132" s="57" t="s">
        <v>2</v>
      </c>
      <c r="M132" s="57"/>
      <c r="N132" s="57"/>
      <c r="O132" s="57"/>
    </row>
    <row r="133" spans="1:15" x14ac:dyDescent="0.25">
      <c r="A133" s="9">
        <v>43688</v>
      </c>
      <c r="B133" s="38" t="s">
        <v>16</v>
      </c>
      <c r="C133" s="39">
        <v>9</v>
      </c>
      <c r="D133" s="38" t="s">
        <v>21</v>
      </c>
      <c r="E133" s="39">
        <v>5</v>
      </c>
      <c r="F133" s="38" t="s">
        <v>20</v>
      </c>
      <c r="G133" s="38" t="s">
        <v>25</v>
      </c>
      <c r="H133" s="39">
        <v>3</v>
      </c>
      <c r="I133" s="39">
        <v>1</v>
      </c>
      <c r="J133" s="38" t="s">
        <v>19</v>
      </c>
      <c r="K133" s="39">
        <v>6</v>
      </c>
      <c r="L133" s="57" t="s">
        <v>3</v>
      </c>
      <c r="M133" s="57"/>
      <c r="N133" s="57"/>
      <c r="O133" s="57"/>
    </row>
    <row r="134" spans="1:15" x14ac:dyDescent="0.25">
      <c r="A134" s="9">
        <v>43689</v>
      </c>
      <c r="B134" s="40" t="s">
        <v>27</v>
      </c>
      <c r="C134" s="40" t="s">
        <v>27</v>
      </c>
      <c r="D134" s="40" t="s">
        <v>27</v>
      </c>
      <c r="E134" s="40" t="s">
        <v>27</v>
      </c>
      <c r="F134" s="40" t="s">
        <v>27</v>
      </c>
      <c r="G134" s="40" t="s">
        <v>27</v>
      </c>
      <c r="H134" s="40" t="s">
        <v>27</v>
      </c>
      <c r="I134" s="40" t="s">
        <v>27</v>
      </c>
      <c r="J134" s="40" t="s">
        <v>27</v>
      </c>
      <c r="K134" s="40" t="s">
        <v>27</v>
      </c>
      <c r="L134" s="57" t="s">
        <v>4</v>
      </c>
      <c r="M134" s="57"/>
      <c r="N134" s="57"/>
      <c r="O134" s="57"/>
    </row>
    <row r="135" spans="1:15" x14ac:dyDescent="0.25">
      <c r="A135" s="9">
        <v>43690</v>
      </c>
      <c r="B135" s="39">
        <v>2</v>
      </c>
      <c r="C135" s="38" t="s">
        <v>23</v>
      </c>
      <c r="D135" s="39">
        <v>10</v>
      </c>
      <c r="E135" s="38" t="s">
        <v>17</v>
      </c>
      <c r="F135" s="39">
        <v>7</v>
      </c>
      <c r="G135" s="39">
        <v>8</v>
      </c>
      <c r="H135" s="38" t="s">
        <v>18</v>
      </c>
      <c r="I135" s="38" t="s">
        <v>15</v>
      </c>
      <c r="J135" s="39">
        <v>4</v>
      </c>
      <c r="K135" s="38" t="s">
        <v>14</v>
      </c>
      <c r="L135" s="57" t="s">
        <v>5</v>
      </c>
      <c r="M135" s="57"/>
      <c r="N135" s="57"/>
      <c r="O135" s="57"/>
    </row>
    <row r="136" spans="1:15" x14ac:dyDescent="0.25">
      <c r="A136" s="9">
        <v>43691</v>
      </c>
      <c r="B136" s="39">
        <v>2</v>
      </c>
      <c r="C136" s="38" t="s">
        <v>23</v>
      </c>
      <c r="D136" s="39">
        <v>10</v>
      </c>
      <c r="E136" s="38" t="s">
        <v>17</v>
      </c>
      <c r="F136" s="39">
        <v>7</v>
      </c>
      <c r="G136" s="39">
        <v>8</v>
      </c>
      <c r="H136" s="38" t="s">
        <v>18</v>
      </c>
      <c r="I136" s="38" t="s">
        <v>15</v>
      </c>
      <c r="J136" s="39">
        <v>4</v>
      </c>
      <c r="K136" s="38" t="s">
        <v>14</v>
      </c>
      <c r="L136" s="57" t="s">
        <v>6</v>
      </c>
      <c r="M136" s="57"/>
      <c r="N136" s="57"/>
      <c r="O136" s="57"/>
    </row>
    <row r="137" spans="1:15" x14ac:dyDescent="0.25">
      <c r="A137" s="9">
        <v>43692</v>
      </c>
      <c r="B137" s="39">
        <v>2</v>
      </c>
      <c r="C137" s="38" t="s">
        <v>23</v>
      </c>
      <c r="D137" s="39">
        <v>10</v>
      </c>
      <c r="E137" s="38" t="s">
        <v>17</v>
      </c>
      <c r="F137" s="39">
        <v>7</v>
      </c>
      <c r="G137" s="39">
        <v>8</v>
      </c>
      <c r="H137" s="38" t="s">
        <v>18</v>
      </c>
      <c r="I137" s="38" t="s">
        <v>15</v>
      </c>
      <c r="J137" s="39">
        <v>4</v>
      </c>
      <c r="K137" s="38" t="s">
        <v>14</v>
      </c>
      <c r="L137" s="57" t="s">
        <v>7</v>
      </c>
      <c r="M137" s="57"/>
      <c r="N137" s="57"/>
      <c r="O137" s="57"/>
    </row>
    <row r="138" spans="1:15" x14ac:dyDescent="0.25">
      <c r="A138" s="9">
        <v>43693</v>
      </c>
      <c r="B138" s="39">
        <v>2</v>
      </c>
      <c r="C138" s="38" t="s">
        <v>23</v>
      </c>
      <c r="D138" s="39">
        <v>10</v>
      </c>
      <c r="E138" s="38" t="s">
        <v>17</v>
      </c>
      <c r="F138" s="39">
        <v>7</v>
      </c>
      <c r="G138" s="39">
        <v>8</v>
      </c>
      <c r="H138" s="38" t="s">
        <v>18</v>
      </c>
      <c r="I138" s="38" t="s">
        <v>15</v>
      </c>
      <c r="J138" s="39">
        <v>4</v>
      </c>
      <c r="K138" s="38" t="s">
        <v>14</v>
      </c>
      <c r="L138" s="57" t="s">
        <v>1</v>
      </c>
      <c r="M138" s="57"/>
      <c r="N138" s="57"/>
      <c r="O138" s="57"/>
    </row>
    <row r="139" spans="1:15" x14ac:dyDescent="0.25">
      <c r="A139" s="9">
        <v>43694</v>
      </c>
      <c r="B139" s="39">
        <v>2</v>
      </c>
      <c r="C139" s="38" t="s">
        <v>23</v>
      </c>
      <c r="D139" s="39">
        <v>10</v>
      </c>
      <c r="E139" s="38" t="s">
        <v>17</v>
      </c>
      <c r="F139" s="39">
        <v>7</v>
      </c>
      <c r="G139" s="39">
        <v>8</v>
      </c>
      <c r="H139" s="38" t="s">
        <v>18</v>
      </c>
      <c r="I139" s="38" t="s">
        <v>15</v>
      </c>
      <c r="J139" s="39">
        <v>4</v>
      </c>
      <c r="K139" s="38" t="s">
        <v>14</v>
      </c>
      <c r="L139" s="57" t="s">
        <v>2</v>
      </c>
      <c r="M139" s="57"/>
      <c r="N139" s="57"/>
      <c r="O139" s="57"/>
    </row>
    <row r="140" spans="1:15" x14ac:dyDescent="0.25">
      <c r="A140" s="9">
        <v>43695</v>
      </c>
      <c r="B140" s="39">
        <v>5</v>
      </c>
      <c r="C140" s="38" t="s">
        <v>14</v>
      </c>
      <c r="D140" s="39">
        <v>2</v>
      </c>
      <c r="E140" s="39">
        <v>10</v>
      </c>
      <c r="F140" s="38" t="s">
        <v>23</v>
      </c>
      <c r="G140" s="38" t="s">
        <v>21</v>
      </c>
      <c r="H140" s="39">
        <v>6</v>
      </c>
      <c r="I140" s="39">
        <v>9</v>
      </c>
      <c r="J140" s="38" t="s">
        <v>16</v>
      </c>
      <c r="K140" s="38" t="s">
        <v>20</v>
      </c>
      <c r="L140" s="57" t="s">
        <v>3</v>
      </c>
      <c r="M140" s="57"/>
      <c r="N140" s="57"/>
      <c r="O140" s="57"/>
    </row>
    <row r="141" spans="1:15" x14ac:dyDescent="0.25">
      <c r="A141" s="9">
        <v>43696</v>
      </c>
      <c r="B141" s="39">
        <v>5</v>
      </c>
      <c r="C141" s="38" t="s">
        <v>14</v>
      </c>
      <c r="D141" s="39">
        <v>2</v>
      </c>
      <c r="E141" s="39">
        <v>10</v>
      </c>
      <c r="F141" s="38" t="s">
        <v>23</v>
      </c>
      <c r="G141" s="38" t="s">
        <v>21</v>
      </c>
      <c r="H141" s="39">
        <v>6</v>
      </c>
      <c r="I141" s="39">
        <v>9</v>
      </c>
      <c r="J141" s="38" t="s">
        <v>16</v>
      </c>
      <c r="K141" s="38" t="s">
        <v>20</v>
      </c>
      <c r="L141" s="57" t="s">
        <v>4</v>
      </c>
      <c r="M141" s="57"/>
      <c r="N141" s="57"/>
      <c r="O141" s="57"/>
    </row>
    <row r="142" spans="1:15" x14ac:dyDescent="0.25">
      <c r="A142" s="9">
        <v>43697</v>
      </c>
      <c r="B142" s="39">
        <v>5</v>
      </c>
      <c r="C142" s="38" t="s">
        <v>14</v>
      </c>
      <c r="D142" s="39">
        <v>2</v>
      </c>
      <c r="E142" s="39">
        <v>10</v>
      </c>
      <c r="F142" s="38" t="s">
        <v>23</v>
      </c>
      <c r="G142" s="38" t="s">
        <v>21</v>
      </c>
      <c r="H142" s="39">
        <v>6</v>
      </c>
      <c r="I142" s="39">
        <v>9</v>
      </c>
      <c r="J142" s="38" t="s">
        <v>16</v>
      </c>
      <c r="K142" s="38" t="s">
        <v>20</v>
      </c>
      <c r="L142" s="57" t="s">
        <v>5</v>
      </c>
      <c r="M142" s="57"/>
      <c r="N142" s="57"/>
      <c r="O142" s="57"/>
    </row>
    <row r="143" spans="1:15" x14ac:dyDescent="0.25">
      <c r="A143" s="9">
        <v>43698</v>
      </c>
      <c r="B143" s="39">
        <v>5</v>
      </c>
      <c r="C143" s="38" t="s">
        <v>14</v>
      </c>
      <c r="D143" s="39">
        <v>2</v>
      </c>
      <c r="E143" s="39">
        <v>10</v>
      </c>
      <c r="F143" s="38" t="s">
        <v>23</v>
      </c>
      <c r="G143" s="38" t="s">
        <v>21</v>
      </c>
      <c r="H143" s="39">
        <v>6</v>
      </c>
      <c r="I143" s="39">
        <v>9</v>
      </c>
      <c r="J143" s="38" t="s">
        <v>16</v>
      </c>
      <c r="K143" s="38" t="s">
        <v>20</v>
      </c>
      <c r="L143" s="57" t="s">
        <v>6</v>
      </c>
      <c r="M143" s="57"/>
      <c r="N143" s="57"/>
      <c r="O143" s="57"/>
    </row>
    <row r="144" spans="1:15" x14ac:dyDescent="0.25">
      <c r="A144" s="9">
        <v>43699</v>
      </c>
      <c r="B144" s="39">
        <v>5</v>
      </c>
      <c r="C144" s="38" t="s">
        <v>14</v>
      </c>
      <c r="D144" s="39">
        <v>2</v>
      </c>
      <c r="E144" s="39">
        <v>10</v>
      </c>
      <c r="F144" s="38" t="s">
        <v>23</v>
      </c>
      <c r="G144" s="38" t="s">
        <v>21</v>
      </c>
      <c r="H144" s="39">
        <v>6</v>
      </c>
      <c r="I144" s="39">
        <v>9</v>
      </c>
      <c r="J144" s="38" t="s">
        <v>16</v>
      </c>
      <c r="K144" s="38" t="s">
        <v>20</v>
      </c>
      <c r="L144" s="57" t="s">
        <v>7</v>
      </c>
      <c r="M144" s="57"/>
      <c r="N144" s="57"/>
      <c r="O144" s="57"/>
    </row>
    <row r="145" spans="1:15" x14ac:dyDescent="0.25">
      <c r="A145" s="9">
        <v>43700</v>
      </c>
      <c r="B145" s="38" t="s">
        <v>17</v>
      </c>
      <c r="C145" s="39">
        <v>4</v>
      </c>
      <c r="D145" s="38" t="s">
        <v>18</v>
      </c>
      <c r="E145" s="38" t="s">
        <v>19</v>
      </c>
      <c r="F145" s="39">
        <v>3</v>
      </c>
      <c r="G145" s="38" t="s">
        <v>25</v>
      </c>
      <c r="H145" s="39">
        <v>8</v>
      </c>
      <c r="I145" s="38" t="s">
        <v>21</v>
      </c>
      <c r="J145" s="39">
        <v>1</v>
      </c>
      <c r="K145" s="39">
        <v>6</v>
      </c>
      <c r="L145" s="57" t="s">
        <v>1</v>
      </c>
      <c r="M145" s="57"/>
      <c r="N145" s="57"/>
      <c r="O145" s="57"/>
    </row>
    <row r="146" spans="1:15" x14ac:dyDescent="0.25">
      <c r="A146" s="9">
        <v>43701</v>
      </c>
      <c r="B146" s="38" t="s">
        <v>17</v>
      </c>
      <c r="C146" s="39">
        <v>4</v>
      </c>
      <c r="D146" s="38" t="s">
        <v>18</v>
      </c>
      <c r="E146" s="38" t="s">
        <v>19</v>
      </c>
      <c r="F146" s="39">
        <v>3</v>
      </c>
      <c r="G146" s="38" t="s">
        <v>25</v>
      </c>
      <c r="H146" s="39">
        <v>8</v>
      </c>
      <c r="I146" s="38" t="s">
        <v>21</v>
      </c>
      <c r="J146" s="39">
        <v>1</v>
      </c>
      <c r="K146" s="39">
        <v>6</v>
      </c>
      <c r="L146" s="57" t="s">
        <v>2</v>
      </c>
      <c r="M146" s="57"/>
      <c r="N146" s="57"/>
      <c r="O146" s="57"/>
    </row>
    <row r="147" spans="1:15" x14ac:dyDescent="0.25">
      <c r="A147" s="9">
        <v>43702</v>
      </c>
      <c r="B147" s="38" t="s">
        <v>17</v>
      </c>
      <c r="C147" s="39">
        <v>4</v>
      </c>
      <c r="D147" s="38" t="s">
        <v>18</v>
      </c>
      <c r="E147" s="38" t="s">
        <v>19</v>
      </c>
      <c r="F147" s="39">
        <v>3</v>
      </c>
      <c r="G147" s="38" t="s">
        <v>25</v>
      </c>
      <c r="H147" s="39">
        <v>8</v>
      </c>
      <c r="I147" s="38" t="s">
        <v>21</v>
      </c>
      <c r="J147" s="39">
        <v>1</v>
      </c>
      <c r="K147" s="39">
        <v>6</v>
      </c>
      <c r="L147" s="57" t="s">
        <v>3</v>
      </c>
      <c r="M147" s="57"/>
      <c r="N147" s="57"/>
      <c r="O147" s="57"/>
    </row>
    <row r="148" spans="1:15" x14ac:dyDescent="0.25">
      <c r="A148" s="9">
        <v>43703</v>
      </c>
      <c r="B148" s="38" t="s">
        <v>17</v>
      </c>
      <c r="C148" s="39">
        <v>4</v>
      </c>
      <c r="D148" s="38" t="s">
        <v>18</v>
      </c>
      <c r="E148" s="38" t="s">
        <v>19</v>
      </c>
      <c r="F148" s="39">
        <v>3</v>
      </c>
      <c r="G148" s="38" t="s">
        <v>25</v>
      </c>
      <c r="H148" s="39">
        <v>8</v>
      </c>
      <c r="I148" s="38" t="s">
        <v>21</v>
      </c>
      <c r="J148" s="39">
        <v>1</v>
      </c>
      <c r="K148" s="39">
        <v>6</v>
      </c>
      <c r="L148" s="57" t="s">
        <v>4</v>
      </c>
      <c r="M148" s="57"/>
      <c r="N148" s="57"/>
      <c r="O148" s="57"/>
    </row>
    <row r="149" spans="1:15" x14ac:dyDescent="0.25">
      <c r="A149" s="9">
        <v>43704</v>
      </c>
      <c r="B149" s="38" t="s">
        <v>17</v>
      </c>
      <c r="C149" s="39">
        <v>4</v>
      </c>
      <c r="D149" s="38" t="s">
        <v>18</v>
      </c>
      <c r="E149" s="38" t="s">
        <v>19</v>
      </c>
      <c r="F149" s="39">
        <v>3</v>
      </c>
      <c r="G149" s="38" t="s">
        <v>25</v>
      </c>
      <c r="H149" s="39">
        <v>8</v>
      </c>
      <c r="I149" s="38" t="s">
        <v>21</v>
      </c>
      <c r="J149" s="39">
        <v>1</v>
      </c>
      <c r="K149" s="39">
        <v>6</v>
      </c>
      <c r="L149" s="57" t="s">
        <v>5</v>
      </c>
      <c r="M149" s="57"/>
      <c r="N149" s="57"/>
      <c r="O149" s="57"/>
    </row>
    <row r="150" spans="1:15" x14ac:dyDescent="0.25">
      <c r="A150" s="9">
        <v>43705</v>
      </c>
      <c r="B150" s="40" t="s">
        <v>27</v>
      </c>
      <c r="C150" s="40" t="s">
        <v>27</v>
      </c>
      <c r="D150" s="40" t="s">
        <v>27</v>
      </c>
      <c r="E150" s="40" t="s">
        <v>27</v>
      </c>
      <c r="F150" s="40" t="s">
        <v>27</v>
      </c>
      <c r="G150" s="40" t="s">
        <v>27</v>
      </c>
      <c r="H150" s="40" t="s">
        <v>27</v>
      </c>
      <c r="I150" s="40" t="s">
        <v>27</v>
      </c>
      <c r="J150" s="40" t="s">
        <v>27</v>
      </c>
      <c r="K150" s="40" t="s">
        <v>27</v>
      </c>
      <c r="L150" s="57" t="s">
        <v>6</v>
      </c>
      <c r="M150" s="57"/>
      <c r="N150" s="57"/>
      <c r="O150" s="57"/>
    </row>
    <row r="151" spans="1:15" x14ac:dyDescent="0.25">
      <c r="A151" s="9">
        <v>43706</v>
      </c>
      <c r="B151" s="39">
        <v>10</v>
      </c>
      <c r="C151" s="38" t="s">
        <v>16</v>
      </c>
      <c r="D151" s="39">
        <v>9</v>
      </c>
      <c r="E151" s="39">
        <v>7</v>
      </c>
      <c r="F151" s="38" t="s">
        <v>15</v>
      </c>
      <c r="G151" s="39">
        <v>5</v>
      </c>
      <c r="H151" s="38" t="s">
        <v>20</v>
      </c>
      <c r="I151" s="39">
        <v>2</v>
      </c>
      <c r="J151" s="38" t="s">
        <v>14</v>
      </c>
      <c r="K151" s="38" t="s">
        <v>23</v>
      </c>
      <c r="L151" s="57" t="s">
        <v>7</v>
      </c>
      <c r="M151" s="57"/>
      <c r="N151" s="57"/>
      <c r="O151" s="57"/>
    </row>
    <row r="152" spans="1:15" x14ac:dyDescent="0.25">
      <c r="A152" s="9">
        <v>43707</v>
      </c>
      <c r="B152" s="39">
        <v>10</v>
      </c>
      <c r="C152" s="38" t="s">
        <v>16</v>
      </c>
      <c r="D152" s="39">
        <v>9</v>
      </c>
      <c r="E152" s="39">
        <v>7</v>
      </c>
      <c r="F152" s="38" t="s">
        <v>15</v>
      </c>
      <c r="G152" s="39">
        <v>5</v>
      </c>
      <c r="H152" s="38" t="s">
        <v>20</v>
      </c>
      <c r="I152" s="39">
        <v>2</v>
      </c>
      <c r="J152" s="38" t="s">
        <v>14</v>
      </c>
      <c r="K152" s="38" t="s">
        <v>23</v>
      </c>
      <c r="L152" s="57" t="s">
        <v>1</v>
      </c>
      <c r="M152" s="57"/>
      <c r="N152" s="57"/>
      <c r="O152" s="57"/>
    </row>
    <row r="153" spans="1:15" x14ac:dyDescent="0.25">
      <c r="A153" s="9">
        <v>43708</v>
      </c>
      <c r="B153" s="39">
        <v>10</v>
      </c>
      <c r="C153" s="38" t="s">
        <v>16</v>
      </c>
      <c r="D153" s="39">
        <v>9</v>
      </c>
      <c r="E153" s="39">
        <v>7</v>
      </c>
      <c r="F153" s="38" t="s">
        <v>15</v>
      </c>
      <c r="G153" s="39">
        <v>5</v>
      </c>
      <c r="H153" s="38" t="s">
        <v>20</v>
      </c>
      <c r="I153" s="39">
        <v>2</v>
      </c>
      <c r="J153" s="38" t="s">
        <v>14</v>
      </c>
      <c r="K153" s="38" t="s">
        <v>23</v>
      </c>
      <c r="L153" s="57" t="s">
        <v>2</v>
      </c>
      <c r="M153" s="57"/>
      <c r="N153" s="57"/>
      <c r="O153" s="57"/>
    </row>
    <row r="154" spans="1:15" x14ac:dyDescent="0.25">
      <c r="A154" s="9">
        <v>43709</v>
      </c>
      <c r="B154" s="39">
        <v>10</v>
      </c>
      <c r="C154" s="38" t="s">
        <v>16</v>
      </c>
      <c r="D154" s="39">
        <v>9</v>
      </c>
      <c r="E154" s="39">
        <v>7</v>
      </c>
      <c r="F154" s="38" t="s">
        <v>15</v>
      </c>
      <c r="G154" s="39">
        <v>5</v>
      </c>
      <c r="H154" s="38" t="s">
        <v>20</v>
      </c>
      <c r="I154" s="39">
        <v>2</v>
      </c>
      <c r="J154" s="38" t="s">
        <v>14</v>
      </c>
      <c r="K154" s="38" t="s">
        <v>23</v>
      </c>
      <c r="L154" s="57" t="s">
        <v>3</v>
      </c>
      <c r="M154" s="57"/>
      <c r="N154" s="57"/>
      <c r="O154" s="57"/>
    </row>
    <row r="155" spans="1:15" x14ac:dyDescent="0.25">
      <c r="A155" s="9">
        <v>43710</v>
      </c>
      <c r="B155" s="39">
        <v>10</v>
      </c>
      <c r="C155" s="38" t="s">
        <v>16</v>
      </c>
      <c r="D155" s="39">
        <v>9</v>
      </c>
      <c r="E155" s="39">
        <v>7</v>
      </c>
      <c r="F155" s="38" t="s">
        <v>15</v>
      </c>
      <c r="G155" s="39">
        <v>5</v>
      </c>
      <c r="H155" s="38" t="s">
        <v>20</v>
      </c>
      <c r="I155" s="39">
        <v>2</v>
      </c>
      <c r="J155" s="38" t="s">
        <v>14</v>
      </c>
      <c r="K155" s="38" t="s">
        <v>23</v>
      </c>
      <c r="L155" s="57" t="s">
        <v>4</v>
      </c>
      <c r="M155" s="57"/>
      <c r="N155" s="57"/>
      <c r="O155" s="57"/>
    </row>
    <row r="156" spans="1:15" x14ac:dyDescent="0.25">
      <c r="A156" s="9"/>
      <c r="B156" s="36"/>
      <c r="C156" s="36"/>
      <c r="D156" s="36"/>
      <c r="E156" s="36"/>
      <c r="F156" s="36"/>
      <c r="G156" s="36"/>
      <c r="H156" s="36"/>
      <c r="I156" s="36"/>
      <c r="J156" s="36"/>
      <c r="K156" s="36"/>
    </row>
    <row r="157" spans="1:15" x14ac:dyDescent="0.25">
      <c r="A157" s="9"/>
      <c r="B157" s="6"/>
      <c r="C157" s="6"/>
      <c r="D157" s="6"/>
      <c r="E157" s="6"/>
      <c r="F157" s="6"/>
      <c r="G157" s="6"/>
      <c r="H157" s="6"/>
      <c r="I157" s="6"/>
      <c r="J157" s="6"/>
      <c r="K157" s="6"/>
    </row>
    <row r="158" spans="1:15" x14ac:dyDescent="0.25">
      <c r="A158" s="9"/>
      <c r="B158" s="6"/>
      <c r="C158" s="6"/>
      <c r="D158" s="6"/>
      <c r="E158" s="6"/>
      <c r="F158" s="6"/>
      <c r="G158" s="6"/>
      <c r="H158" s="6"/>
      <c r="I158" s="6"/>
      <c r="J158" s="6"/>
      <c r="K158" s="6"/>
    </row>
    <row r="159" spans="1:15" x14ac:dyDescent="0.25">
      <c r="A159" s="9"/>
      <c r="B159" s="6"/>
      <c r="C159" s="6"/>
      <c r="D159" s="6"/>
      <c r="E159" s="6"/>
      <c r="F159" s="6"/>
      <c r="G159" s="6"/>
      <c r="H159" s="6"/>
      <c r="I159" s="6"/>
      <c r="J159" s="6"/>
      <c r="K159" s="6"/>
    </row>
    <row r="160" spans="1:15" x14ac:dyDescent="0.25">
      <c r="A160" s="9"/>
      <c r="B160" s="6"/>
      <c r="C160" s="6"/>
      <c r="D160" s="6"/>
      <c r="E160" s="6"/>
      <c r="F160" s="6"/>
      <c r="G160" s="6"/>
      <c r="H160" s="6"/>
      <c r="I160" s="6"/>
      <c r="J160" s="6"/>
      <c r="K160" s="6"/>
    </row>
    <row r="161" spans="1:11" x14ac:dyDescent="0.25">
      <c r="A161" s="9"/>
      <c r="B161" s="6"/>
      <c r="C161" s="6"/>
      <c r="D161" s="6"/>
      <c r="E161" s="6"/>
      <c r="F161" s="6"/>
      <c r="G161" s="6"/>
      <c r="H161" s="6"/>
      <c r="I161" s="6"/>
      <c r="J161" s="6"/>
      <c r="K161" s="6"/>
    </row>
    <row r="162" spans="1:11" x14ac:dyDescent="0.25">
      <c r="A162" s="9"/>
      <c r="B162" s="6"/>
      <c r="C162" s="6"/>
      <c r="D162" s="6"/>
      <c r="E162" s="6"/>
      <c r="F162" s="6"/>
      <c r="G162" s="6"/>
      <c r="H162" s="6"/>
      <c r="I162" s="6"/>
      <c r="J162" s="6"/>
      <c r="K162" s="6"/>
    </row>
    <row r="163" spans="1:11" x14ac:dyDescent="0.25">
      <c r="A163" s="9"/>
      <c r="B163" s="6"/>
      <c r="C163" s="6"/>
      <c r="D163" s="6"/>
      <c r="E163" s="6"/>
      <c r="F163" s="6"/>
      <c r="G163" s="6"/>
      <c r="H163" s="6"/>
      <c r="I163" s="6"/>
      <c r="J163" s="6"/>
      <c r="K163" s="6"/>
    </row>
    <row r="164" spans="1:11" x14ac:dyDescent="0.25">
      <c r="A164" s="9"/>
      <c r="B164" s="6"/>
      <c r="C164" s="6"/>
      <c r="D164" s="6"/>
      <c r="E164" s="6"/>
      <c r="F164" s="6"/>
      <c r="G164" s="6"/>
      <c r="H164" s="6"/>
      <c r="I164" s="6"/>
      <c r="J164" s="6"/>
      <c r="K164" s="6"/>
    </row>
    <row r="165" spans="1:11" x14ac:dyDescent="0.25">
      <c r="A165" s="9"/>
      <c r="B165" s="6"/>
      <c r="C165" s="6"/>
      <c r="D165" s="6"/>
      <c r="E165" s="6"/>
      <c r="F165" s="6"/>
      <c r="G165" s="6"/>
      <c r="H165" s="6"/>
      <c r="I165" s="6"/>
      <c r="J165" s="6"/>
      <c r="K165" s="6"/>
    </row>
    <row r="166" spans="1:11" x14ac:dyDescent="0.25">
      <c r="A166" s="9"/>
      <c r="B166" s="6"/>
      <c r="C166" s="6"/>
      <c r="D166" s="6"/>
      <c r="E166" s="6"/>
      <c r="F166" s="6"/>
      <c r="G166" s="6"/>
      <c r="H166" s="6"/>
      <c r="I166" s="6"/>
      <c r="J166" s="6"/>
      <c r="K166" s="6"/>
    </row>
    <row r="167" spans="1:11" x14ac:dyDescent="0.25">
      <c r="A167" s="9"/>
      <c r="B167" s="6"/>
      <c r="C167" s="6"/>
      <c r="D167" s="6"/>
      <c r="E167" s="6"/>
      <c r="F167" s="6"/>
      <c r="G167" s="6"/>
      <c r="H167" s="6"/>
      <c r="I167" s="6"/>
      <c r="J167" s="6"/>
      <c r="K167" s="6"/>
    </row>
    <row r="168" spans="1:11" x14ac:dyDescent="0.25">
      <c r="A168" s="9"/>
      <c r="B168" s="6"/>
      <c r="C168" s="6"/>
      <c r="D168" s="6"/>
      <c r="E168" s="6"/>
      <c r="F168" s="6"/>
      <c r="G168" s="6"/>
      <c r="H168" s="6"/>
      <c r="I168" s="6"/>
      <c r="J168" s="6"/>
      <c r="K168" s="6"/>
    </row>
    <row r="169" spans="1:11" x14ac:dyDescent="0.25">
      <c r="A169" s="9"/>
      <c r="B169" s="6"/>
      <c r="C169" s="6"/>
      <c r="D169" s="6"/>
      <c r="E169" s="6"/>
      <c r="F169" s="6"/>
      <c r="G169" s="6"/>
      <c r="H169" s="6"/>
      <c r="I169" s="6"/>
      <c r="J169" s="6"/>
      <c r="K169" s="6"/>
    </row>
    <row r="170" spans="1:11" x14ac:dyDescent="0.25">
      <c r="A170" s="9"/>
      <c r="B170" s="6"/>
      <c r="C170" s="6"/>
      <c r="D170" s="6"/>
      <c r="E170" s="6"/>
      <c r="F170" s="6"/>
      <c r="G170" s="6"/>
      <c r="H170" s="6"/>
      <c r="I170" s="6"/>
      <c r="J170" s="6"/>
      <c r="K170" s="6"/>
    </row>
    <row r="171" spans="1:11" x14ac:dyDescent="0.25">
      <c r="A171" s="9"/>
      <c r="B171" s="6"/>
      <c r="C171" s="6"/>
      <c r="D171" s="6"/>
      <c r="E171" s="6"/>
      <c r="F171" s="6"/>
      <c r="G171" s="6"/>
      <c r="H171" s="6"/>
      <c r="I171" s="6"/>
      <c r="J171" s="6"/>
      <c r="K171" s="6"/>
    </row>
    <row r="172" spans="1:11" x14ac:dyDescent="0.25">
      <c r="A172" s="9"/>
      <c r="B172" s="6"/>
      <c r="C172" s="6"/>
      <c r="D172" s="6"/>
      <c r="E172" s="6"/>
      <c r="F172" s="6"/>
      <c r="G172" s="6"/>
      <c r="H172" s="6"/>
      <c r="I172" s="6"/>
      <c r="J172" s="6"/>
      <c r="K172" s="6"/>
    </row>
    <row r="173" spans="1:11" x14ac:dyDescent="0.25">
      <c r="A173" s="9"/>
      <c r="B173" s="6"/>
      <c r="C173" s="6"/>
      <c r="D173" s="6"/>
      <c r="E173" s="6"/>
      <c r="F173" s="6"/>
      <c r="G173" s="6"/>
      <c r="H173" s="6"/>
      <c r="I173" s="6"/>
      <c r="J173" s="6"/>
      <c r="K173" s="6"/>
    </row>
    <row r="174" spans="1:11" x14ac:dyDescent="0.25">
      <c r="A174" s="9"/>
      <c r="B174" s="6"/>
      <c r="C174" s="6"/>
      <c r="D174" s="6"/>
      <c r="E174" s="6"/>
      <c r="F174" s="6"/>
      <c r="G174" s="6"/>
      <c r="H174" s="6"/>
      <c r="I174" s="6"/>
      <c r="J174" s="6"/>
      <c r="K174" s="6"/>
    </row>
    <row r="175" spans="1:11" x14ac:dyDescent="0.25">
      <c r="A175" s="9"/>
      <c r="B175" s="6"/>
      <c r="C175" s="6"/>
      <c r="D175" s="6"/>
      <c r="E175" s="6"/>
      <c r="F175" s="6"/>
      <c r="G175" s="6"/>
      <c r="H175" s="6"/>
      <c r="I175" s="6"/>
      <c r="J175" s="6"/>
      <c r="K175" s="6"/>
    </row>
    <row r="176" spans="1:11" x14ac:dyDescent="0.25">
      <c r="A176" s="9"/>
      <c r="B176" s="6"/>
      <c r="C176" s="6"/>
      <c r="D176" s="6"/>
      <c r="E176" s="6"/>
      <c r="F176" s="6"/>
      <c r="G176" s="6"/>
      <c r="H176" s="6"/>
      <c r="I176" s="6"/>
      <c r="J176" s="6"/>
      <c r="K176" s="6"/>
    </row>
    <row r="177" spans="1:11" x14ac:dyDescent="0.25">
      <c r="A177" s="9"/>
      <c r="B177" s="6"/>
      <c r="C177" s="6"/>
      <c r="D177" s="6"/>
      <c r="E177" s="6"/>
      <c r="F177" s="6"/>
      <c r="G177" s="6"/>
      <c r="H177" s="6"/>
      <c r="I177" s="6"/>
      <c r="J177" s="6"/>
      <c r="K177" s="6"/>
    </row>
    <row r="178" spans="1:11" x14ac:dyDescent="0.25">
      <c r="A178" s="9"/>
      <c r="B178" s="6"/>
      <c r="C178" s="6"/>
      <c r="D178" s="6"/>
      <c r="E178" s="6"/>
      <c r="F178" s="6"/>
      <c r="G178" s="6"/>
      <c r="H178" s="6"/>
      <c r="I178" s="6"/>
      <c r="J178" s="6"/>
      <c r="K178" s="6"/>
    </row>
    <row r="179" spans="1:11" x14ac:dyDescent="0.25">
      <c r="A179" s="9"/>
      <c r="B179" s="6"/>
      <c r="C179" s="6"/>
      <c r="D179" s="6"/>
      <c r="E179" s="6"/>
      <c r="F179" s="6"/>
      <c r="G179" s="6"/>
      <c r="H179" s="6"/>
      <c r="I179" s="6"/>
      <c r="J179" s="6"/>
      <c r="K179" s="6"/>
    </row>
    <row r="180" spans="1:11" x14ac:dyDescent="0.25">
      <c r="A180" s="9"/>
      <c r="B180" s="6"/>
      <c r="C180" s="6"/>
      <c r="D180" s="6"/>
      <c r="E180" s="6"/>
      <c r="F180" s="6"/>
      <c r="G180" s="6"/>
      <c r="H180" s="6"/>
      <c r="I180" s="6"/>
      <c r="J180" s="6"/>
      <c r="K180" s="6"/>
    </row>
    <row r="181" spans="1:11" x14ac:dyDescent="0.25">
      <c r="A181" s="9"/>
      <c r="B181" s="6"/>
      <c r="C181" s="6"/>
      <c r="D181" s="6"/>
      <c r="E181" s="6"/>
      <c r="F181" s="6"/>
      <c r="G181" s="6"/>
      <c r="H181" s="6"/>
      <c r="I181" s="6"/>
      <c r="J181" s="6"/>
      <c r="K181" s="6"/>
    </row>
    <row r="182" spans="1:11" x14ac:dyDescent="0.25">
      <c r="A182" s="9"/>
      <c r="B182" s="6"/>
      <c r="C182" s="6"/>
      <c r="D182" s="6"/>
      <c r="E182" s="6"/>
      <c r="F182" s="6"/>
      <c r="G182" s="6"/>
      <c r="H182" s="6"/>
      <c r="I182" s="6"/>
      <c r="J182" s="6"/>
      <c r="K182" s="6"/>
    </row>
    <row r="183" spans="1:11" x14ac:dyDescent="0.25">
      <c r="A183" s="9"/>
      <c r="B183" s="6"/>
      <c r="C183" s="6"/>
      <c r="D183" s="6"/>
      <c r="E183" s="6"/>
      <c r="F183" s="6"/>
      <c r="G183" s="6"/>
      <c r="H183" s="6"/>
      <c r="I183" s="6"/>
      <c r="J183" s="6"/>
      <c r="K183" s="6"/>
    </row>
    <row r="184" spans="1:11" x14ac:dyDescent="0.25">
      <c r="A184" s="9"/>
      <c r="B184" s="6"/>
      <c r="C184" s="6"/>
      <c r="D184" s="6"/>
      <c r="E184" s="6"/>
      <c r="F184" s="6"/>
      <c r="G184" s="6"/>
      <c r="H184" s="6"/>
      <c r="I184" s="6"/>
      <c r="J184" s="6"/>
      <c r="K184" s="6"/>
    </row>
    <row r="185" spans="1:11" x14ac:dyDescent="0.25">
      <c r="A185" s="9"/>
      <c r="B185" s="6"/>
      <c r="C185" s="6"/>
      <c r="D185" s="6"/>
      <c r="E185" s="6"/>
      <c r="F185" s="6"/>
      <c r="G185" s="6"/>
      <c r="H185" s="6"/>
      <c r="I185" s="6"/>
      <c r="J185" s="6"/>
      <c r="K185" s="6"/>
    </row>
    <row r="186" spans="1:11" x14ac:dyDescent="0.25">
      <c r="A186" s="9"/>
      <c r="B186" s="6"/>
      <c r="C186" s="6"/>
      <c r="D186" s="6"/>
      <c r="E186" s="6"/>
      <c r="F186" s="6"/>
      <c r="G186" s="6"/>
      <c r="H186" s="6"/>
      <c r="I186" s="6"/>
      <c r="J186" s="6"/>
      <c r="K186" s="6"/>
    </row>
    <row r="187" spans="1:11" x14ac:dyDescent="0.25">
      <c r="A187" s="9"/>
      <c r="B187" s="6"/>
      <c r="C187" s="6"/>
      <c r="D187" s="6"/>
      <c r="E187" s="6"/>
      <c r="F187" s="6"/>
      <c r="G187" s="6"/>
      <c r="H187" s="6"/>
      <c r="I187" s="6"/>
      <c r="J187" s="6"/>
      <c r="K187" s="6"/>
    </row>
    <row r="188" spans="1:11" x14ac:dyDescent="0.25">
      <c r="A188" s="9"/>
      <c r="B188" s="6"/>
      <c r="C188" s="6"/>
      <c r="D188" s="6"/>
      <c r="E188" s="6"/>
      <c r="F188" s="6"/>
      <c r="G188" s="6"/>
      <c r="H188" s="6"/>
      <c r="I188" s="6"/>
      <c r="J188" s="6"/>
      <c r="K188" s="6"/>
    </row>
    <row r="189" spans="1:11" x14ac:dyDescent="0.25">
      <c r="A189" s="9"/>
      <c r="B189" s="6"/>
      <c r="C189" s="6"/>
      <c r="D189" s="6"/>
      <c r="E189" s="6"/>
      <c r="F189" s="6"/>
      <c r="G189" s="6"/>
      <c r="H189" s="6"/>
      <c r="I189" s="6"/>
      <c r="J189" s="6"/>
      <c r="K189" s="6"/>
    </row>
    <row r="190" spans="1:11" x14ac:dyDescent="0.25">
      <c r="A190" s="9"/>
      <c r="B190" s="6"/>
      <c r="C190" s="6"/>
      <c r="D190" s="6"/>
      <c r="E190" s="6"/>
      <c r="F190" s="6"/>
      <c r="G190" s="6"/>
      <c r="H190" s="6"/>
      <c r="I190" s="6"/>
      <c r="J190" s="6"/>
      <c r="K190" s="6"/>
    </row>
    <row r="191" spans="1:11" x14ac:dyDescent="0.25">
      <c r="A191" s="9"/>
      <c r="B191" s="6"/>
      <c r="C191" s="6"/>
      <c r="D191" s="6"/>
      <c r="E191" s="6"/>
      <c r="F191" s="6"/>
      <c r="G191" s="6"/>
      <c r="H191" s="6"/>
      <c r="I191" s="6"/>
      <c r="J191" s="6"/>
      <c r="K191" s="6"/>
    </row>
    <row r="192" spans="1:11" x14ac:dyDescent="0.25">
      <c r="A192" s="9"/>
      <c r="B192" s="6"/>
      <c r="C192" s="6"/>
      <c r="D192" s="6"/>
      <c r="E192" s="6"/>
      <c r="F192" s="6"/>
      <c r="G192" s="6"/>
      <c r="H192" s="6"/>
      <c r="I192" s="6"/>
      <c r="J192" s="6"/>
      <c r="K192" s="6"/>
    </row>
    <row r="193" spans="1:11" x14ac:dyDescent="0.25">
      <c r="A193" s="9"/>
      <c r="B193" s="6"/>
      <c r="C193" s="6"/>
      <c r="D193" s="6"/>
      <c r="E193" s="6"/>
      <c r="F193" s="6"/>
      <c r="G193" s="6"/>
      <c r="H193" s="6"/>
      <c r="I193" s="6"/>
      <c r="J193" s="6"/>
      <c r="K193" s="6"/>
    </row>
    <row r="194" spans="1:11" x14ac:dyDescent="0.25">
      <c r="A194" s="9"/>
      <c r="B194" s="6"/>
      <c r="C194" s="6"/>
      <c r="D194" s="6"/>
      <c r="E194" s="6"/>
      <c r="F194" s="6"/>
      <c r="G194" s="6"/>
      <c r="H194" s="6"/>
      <c r="I194" s="6"/>
      <c r="J194" s="6"/>
      <c r="K194" s="6"/>
    </row>
    <row r="195" spans="1:11" x14ac:dyDescent="0.25">
      <c r="A195" s="9"/>
      <c r="B195" s="6"/>
      <c r="C195" s="6"/>
      <c r="D195" s="6"/>
      <c r="E195" s="6"/>
      <c r="F195" s="6"/>
      <c r="G195" s="6"/>
      <c r="H195" s="6"/>
      <c r="I195" s="6"/>
      <c r="J195" s="6"/>
      <c r="K195" s="6"/>
    </row>
    <row r="196" spans="1:11" x14ac:dyDescent="0.25">
      <c r="A196" s="9"/>
      <c r="B196" s="6"/>
      <c r="C196" s="6"/>
      <c r="D196" s="6"/>
      <c r="E196" s="6"/>
      <c r="F196" s="6"/>
      <c r="G196" s="6"/>
      <c r="H196" s="6"/>
      <c r="I196" s="6"/>
      <c r="J196" s="6"/>
      <c r="K196" s="6"/>
    </row>
    <row r="197" spans="1:11" x14ac:dyDescent="0.25">
      <c r="A197" s="9"/>
      <c r="B197" s="6"/>
      <c r="C197" s="6"/>
      <c r="D197" s="6"/>
      <c r="E197" s="6"/>
      <c r="F197" s="6"/>
      <c r="G197" s="6"/>
      <c r="H197" s="6"/>
      <c r="I197" s="6"/>
      <c r="J197" s="6"/>
      <c r="K197" s="6"/>
    </row>
    <row r="198" spans="1:11" x14ac:dyDescent="0.25">
      <c r="A198" s="9"/>
      <c r="B198" s="6"/>
      <c r="C198" s="6"/>
      <c r="D198" s="6"/>
      <c r="E198" s="6"/>
      <c r="F198" s="6"/>
      <c r="G198" s="6"/>
      <c r="H198" s="6"/>
      <c r="I198" s="6"/>
      <c r="J198" s="6"/>
      <c r="K198" s="6"/>
    </row>
    <row r="199" spans="1:11" x14ac:dyDescent="0.25">
      <c r="A199" s="9"/>
      <c r="B199" s="6"/>
      <c r="C199" s="6"/>
      <c r="D199" s="6"/>
      <c r="E199" s="6"/>
      <c r="F199" s="6"/>
      <c r="G199" s="6"/>
      <c r="H199" s="6"/>
      <c r="I199" s="6"/>
      <c r="J199" s="6"/>
      <c r="K199" s="6"/>
    </row>
    <row r="200" spans="1:11" x14ac:dyDescent="0.25">
      <c r="A200" s="9"/>
      <c r="B200" s="6"/>
      <c r="C200" s="6"/>
      <c r="D200" s="6"/>
      <c r="E200" s="6"/>
      <c r="F200" s="6"/>
      <c r="G200" s="6"/>
      <c r="H200" s="6"/>
      <c r="I200" s="6"/>
      <c r="J200" s="6"/>
      <c r="K200" s="6"/>
    </row>
    <row r="201" spans="1:11" x14ac:dyDescent="0.25">
      <c r="A201" s="9"/>
      <c r="B201" s="6"/>
      <c r="C201" s="6"/>
      <c r="D201" s="6"/>
      <c r="E201" s="6"/>
      <c r="F201" s="6"/>
      <c r="G201" s="6"/>
      <c r="H201" s="6"/>
      <c r="I201" s="6"/>
      <c r="J201" s="6"/>
      <c r="K201" s="6"/>
    </row>
    <row r="202" spans="1:11" x14ac:dyDescent="0.25">
      <c r="A202" s="9"/>
      <c r="B202" s="6"/>
      <c r="C202" s="6"/>
      <c r="D202" s="6"/>
      <c r="E202" s="6"/>
      <c r="F202" s="6"/>
      <c r="G202" s="6"/>
      <c r="H202" s="6"/>
      <c r="I202" s="6"/>
      <c r="J202" s="6"/>
      <c r="K202" s="6"/>
    </row>
    <row r="203" spans="1:11" x14ac:dyDescent="0.25">
      <c r="A203" s="9"/>
      <c r="B203" s="6"/>
      <c r="C203" s="6"/>
      <c r="D203" s="6"/>
      <c r="E203" s="6"/>
      <c r="F203" s="6"/>
      <c r="G203" s="6"/>
      <c r="H203" s="6"/>
      <c r="I203" s="6"/>
      <c r="J203" s="6"/>
      <c r="K203" s="6"/>
    </row>
    <row r="204" spans="1:11" x14ac:dyDescent="0.25">
      <c r="A204" s="9"/>
      <c r="B204" s="6"/>
      <c r="C204" s="6"/>
      <c r="D204" s="6"/>
      <c r="E204" s="6"/>
      <c r="F204" s="6"/>
      <c r="G204" s="6"/>
      <c r="H204" s="6"/>
      <c r="I204" s="6"/>
      <c r="J204" s="6"/>
      <c r="K204" s="6"/>
    </row>
    <row r="205" spans="1:11" x14ac:dyDescent="0.25">
      <c r="A205" s="9"/>
      <c r="B205" s="6"/>
      <c r="C205" s="6"/>
      <c r="D205" s="6"/>
      <c r="E205" s="6"/>
      <c r="F205" s="6"/>
      <c r="G205" s="6"/>
      <c r="H205" s="6"/>
      <c r="I205" s="6"/>
      <c r="J205" s="6"/>
      <c r="K205" s="6"/>
    </row>
    <row r="206" spans="1:11" x14ac:dyDescent="0.25">
      <c r="A206" s="9"/>
      <c r="B206" s="6"/>
      <c r="C206" s="6"/>
      <c r="D206" s="6"/>
      <c r="E206" s="6"/>
      <c r="F206" s="6"/>
      <c r="G206" s="6"/>
      <c r="H206" s="6"/>
      <c r="I206" s="6"/>
      <c r="J206" s="6"/>
      <c r="K206" s="6"/>
    </row>
    <row r="207" spans="1:11" x14ac:dyDescent="0.25">
      <c r="B207" s="6"/>
      <c r="C207" s="6"/>
      <c r="D207" s="6"/>
      <c r="E207" s="6"/>
      <c r="F207" s="6"/>
      <c r="G207" s="6"/>
      <c r="H207" s="6"/>
      <c r="I207" s="6"/>
      <c r="J207" s="6"/>
      <c r="K207" s="6"/>
    </row>
    <row r="208" spans="1:11" x14ac:dyDescent="0.25">
      <c r="B208" s="6"/>
      <c r="C208" s="6"/>
      <c r="D208" s="6"/>
      <c r="E208" s="6"/>
      <c r="F208" s="6"/>
      <c r="G208" s="6"/>
      <c r="H208" s="6"/>
      <c r="I208" s="6"/>
      <c r="J208" s="6"/>
      <c r="K208" s="6"/>
    </row>
    <row r="209" spans="2:11" x14ac:dyDescent="0.25">
      <c r="B209" s="6"/>
      <c r="C209" s="6"/>
      <c r="D209" s="6"/>
      <c r="E209" s="6"/>
      <c r="F209" s="6"/>
      <c r="G209" s="6"/>
      <c r="H209" s="6"/>
      <c r="I209" s="6"/>
      <c r="J209" s="6"/>
      <c r="K209" s="6"/>
    </row>
    <row r="210" spans="2:11" x14ac:dyDescent="0.25">
      <c r="B210" s="6"/>
      <c r="C210" s="6"/>
      <c r="D210" s="6"/>
      <c r="E210" s="6"/>
      <c r="F210" s="6"/>
      <c r="G210" s="6"/>
      <c r="H210" s="6"/>
      <c r="I210" s="6"/>
      <c r="J210" s="6"/>
      <c r="K210" s="6"/>
    </row>
    <row r="211" spans="2:11" x14ac:dyDescent="0.25">
      <c r="B211" s="6"/>
      <c r="C211" s="6"/>
      <c r="D211" s="6"/>
      <c r="E211" s="6"/>
      <c r="F211" s="6"/>
      <c r="G211" s="6"/>
      <c r="H211" s="6"/>
      <c r="I211" s="6"/>
      <c r="J211" s="6"/>
      <c r="K211" s="6"/>
    </row>
    <row r="212" spans="2:11" x14ac:dyDescent="0.25">
      <c r="B212" s="6"/>
      <c r="C212" s="6"/>
      <c r="D212" s="6"/>
      <c r="E212" s="6"/>
      <c r="F212" s="6"/>
      <c r="G212" s="6"/>
      <c r="H212" s="6"/>
      <c r="I212" s="6"/>
      <c r="J212" s="6"/>
      <c r="K212" s="6"/>
    </row>
    <row r="213" spans="2:11" x14ac:dyDescent="0.25">
      <c r="B213" s="6"/>
      <c r="C213" s="6"/>
      <c r="D213" s="6"/>
      <c r="E213" s="6"/>
      <c r="F213" s="6"/>
      <c r="G213" s="6"/>
      <c r="H213" s="6"/>
      <c r="I213" s="6"/>
      <c r="J213" s="6"/>
      <c r="K213" s="6"/>
    </row>
    <row r="214" spans="2:11" x14ac:dyDescent="0.25">
      <c r="B214" s="6"/>
      <c r="C214" s="6"/>
      <c r="D214" s="6"/>
      <c r="E214" s="6"/>
      <c r="F214" s="6"/>
      <c r="G214" s="6"/>
      <c r="H214" s="6"/>
      <c r="I214" s="6"/>
      <c r="J214" s="6"/>
      <c r="K214" s="6"/>
    </row>
    <row r="215" spans="2:11" x14ac:dyDescent="0.25">
      <c r="B215" s="6"/>
      <c r="C215" s="6"/>
      <c r="D215" s="6"/>
      <c r="E215" s="6"/>
      <c r="F215" s="6"/>
      <c r="G215" s="6"/>
      <c r="H215" s="6"/>
      <c r="I215" s="6"/>
      <c r="J215" s="6"/>
      <c r="K215" s="6"/>
    </row>
    <row r="216" spans="2:11" x14ac:dyDescent="0.25">
      <c r="B216" s="6"/>
      <c r="C216" s="6"/>
      <c r="D216" s="6"/>
      <c r="E216" s="6"/>
      <c r="F216" s="6"/>
      <c r="G216" s="6"/>
      <c r="H216" s="6"/>
      <c r="I216" s="6"/>
      <c r="J216" s="6"/>
      <c r="K216" s="6"/>
    </row>
    <row r="217" spans="2:11" x14ac:dyDescent="0.25">
      <c r="B217" s="6"/>
      <c r="C217" s="6"/>
      <c r="D217" s="6"/>
      <c r="E217" s="6"/>
      <c r="F217" s="6"/>
      <c r="G217" s="6"/>
      <c r="H217" s="6"/>
      <c r="I217" s="6"/>
      <c r="J217" s="6"/>
      <c r="K217" s="6"/>
    </row>
    <row r="218" spans="2:11" x14ac:dyDescent="0.25">
      <c r="B218" s="6"/>
      <c r="C218" s="6"/>
      <c r="D218" s="6"/>
      <c r="E218" s="6"/>
      <c r="F218" s="6"/>
      <c r="G218" s="6"/>
      <c r="H218" s="6"/>
      <c r="I218" s="6"/>
      <c r="J218" s="6"/>
      <c r="K218" s="6"/>
    </row>
    <row r="219" spans="2:11" x14ac:dyDescent="0.25">
      <c r="B219" s="6"/>
      <c r="C219" s="6"/>
      <c r="D219" s="6"/>
      <c r="E219" s="6"/>
      <c r="F219" s="6"/>
      <c r="G219" s="6"/>
      <c r="H219" s="6"/>
      <c r="I219" s="6"/>
      <c r="J219" s="6"/>
      <c r="K219" s="6"/>
    </row>
    <row r="220" spans="2:11" x14ac:dyDescent="0.25">
      <c r="B220" s="6"/>
      <c r="C220" s="6"/>
      <c r="D220" s="6"/>
      <c r="E220" s="6"/>
      <c r="F220" s="6"/>
      <c r="G220" s="6"/>
      <c r="H220" s="6"/>
      <c r="I220" s="6"/>
      <c r="J220" s="6"/>
      <c r="K220" s="6"/>
    </row>
    <row r="221" spans="2:11" x14ac:dyDescent="0.25">
      <c r="B221" s="6"/>
      <c r="C221" s="6"/>
      <c r="D221" s="6"/>
      <c r="E221" s="6"/>
      <c r="F221" s="6"/>
      <c r="G221" s="6"/>
      <c r="H221" s="6"/>
      <c r="I221" s="6"/>
      <c r="J221" s="6"/>
      <c r="K221" s="6"/>
    </row>
    <row r="222" spans="2:11" x14ac:dyDescent="0.25">
      <c r="B222" s="6"/>
      <c r="C222" s="6"/>
      <c r="D222" s="6"/>
      <c r="E222" s="6"/>
      <c r="F222" s="6"/>
      <c r="G222" s="6"/>
      <c r="H222" s="6"/>
      <c r="I222" s="6"/>
      <c r="J222" s="6"/>
      <c r="K222" s="6"/>
    </row>
    <row r="223" spans="2:11" x14ac:dyDescent="0.25">
      <c r="B223" s="6"/>
      <c r="C223" s="6"/>
      <c r="D223" s="6"/>
      <c r="E223" s="6"/>
      <c r="F223" s="6"/>
      <c r="G223" s="6"/>
      <c r="H223" s="6"/>
      <c r="I223" s="6"/>
      <c r="J223" s="6"/>
      <c r="K223" s="6"/>
    </row>
    <row r="224" spans="2:11" x14ac:dyDescent="0.25">
      <c r="B224" s="6"/>
      <c r="C224" s="6"/>
      <c r="D224" s="6"/>
      <c r="E224" s="6"/>
      <c r="F224" s="6"/>
      <c r="G224" s="6"/>
      <c r="H224" s="6"/>
      <c r="I224" s="6"/>
      <c r="J224" s="6"/>
      <c r="K224" s="6"/>
    </row>
    <row r="225" spans="2:11" x14ac:dyDescent="0.25">
      <c r="B225" s="6"/>
      <c r="C225" s="6"/>
      <c r="D225" s="6"/>
      <c r="E225" s="6"/>
      <c r="F225" s="6"/>
      <c r="G225" s="6"/>
      <c r="H225" s="6"/>
      <c r="I225" s="6"/>
      <c r="J225" s="6"/>
      <c r="K225" s="6"/>
    </row>
    <row r="226" spans="2:11" x14ac:dyDescent="0.25">
      <c r="B226" s="6"/>
      <c r="C226" s="6"/>
      <c r="D226" s="6"/>
      <c r="E226" s="6"/>
      <c r="F226" s="6"/>
      <c r="G226" s="6"/>
      <c r="H226" s="6"/>
      <c r="I226" s="6"/>
      <c r="J226" s="6"/>
      <c r="K226" s="6"/>
    </row>
    <row r="227" spans="2:11" x14ac:dyDescent="0.25">
      <c r="B227" s="6"/>
      <c r="C227" s="6"/>
      <c r="D227" s="6"/>
      <c r="E227" s="6"/>
      <c r="F227" s="6"/>
      <c r="G227" s="6"/>
      <c r="H227" s="6"/>
      <c r="I227" s="6"/>
      <c r="J227" s="6"/>
      <c r="K227" s="6"/>
    </row>
    <row r="228" spans="2:11" x14ac:dyDescent="0.25">
      <c r="B228" s="6"/>
      <c r="C228" s="6"/>
      <c r="D228" s="6"/>
      <c r="E228" s="6"/>
      <c r="F228" s="6"/>
      <c r="G228" s="6"/>
      <c r="H228" s="6"/>
      <c r="I228" s="6"/>
      <c r="J228" s="6"/>
      <c r="K228" s="6"/>
    </row>
    <row r="229" spans="2:11" x14ac:dyDescent="0.25">
      <c r="B229" s="6"/>
      <c r="C229" s="6"/>
      <c r="D229" s="6"/>
      <c r="E229" s="6"/>
      <c r="F229" s="6"/>
      <c r="G229" s="6"/>
      <c r="H229" s="6"/>
      <c r="I229" s="6"/>
      <c r="J229" s="6"/>
      <c r="K229" s="6"/>
    </row>
    <row r="230" spans="2:11" x14ac:dyDescent="0.25">
      <c r="B230" s="6"/>
      <c r="C230" s="6"/>
      <c r="D230" s="6"/>
      <c r="E230" s="6"/>
      <c r="F230" s="6"/>
      <c r="G230" s="6"/>
      <c r="H230" s="6"/>
      <c r="I230" s="6"/>
      <c r="J230" s="6"/>
      <c r="K230" s="6"/>
    </row>
    <row r="231" spans="2:11" x14ac:dyDescent="0.25">
      <c r="B231" s="6"/>
      <c r="C231" s="6"/>
      <c r="D231" s="6"/>
      <c r="E231" s="6"/>
      <c r="F231" s="6"/>
      <c r="G231" s="6"/>
      <c r="H231" s="6"/>
      <c r="I231" s="6"/>
      <c r="J231" s="6"/>
      <c r="K231" s="6"/>
    </row>
    <row r="232" spans="2:11" x14ac:dyDescent="0.25">
      <c r="B232" s="6"/>
      <c r="C232" s="6"/>
      <c r="D232" s="6"/>
      <c r="E232" s="6"/>
      <c r="F232" s="6"/>
      <c r="G232" s="6"/>
      <c r="H232" s="6"/>
      <c r="I232" s="6"/>
      <c r="J232" s="6"/>
      <c r="K232" s="6"/>
    </row>
    <row r="233" spans="2:11" x14ac:dyDescent="0.25">
      <c r="B233" s="6"/>
      <c r="C233" s="6"/>
      <c r="D233" s="6"/>
      <c r="E233" s="6"/>
      <c r="F233" s="6"/>
      <c r="G233" s="6"/>
      <c r="H233" s="6"/>
      <c r="I233" s="6"/>
      <c r="J233" s="6"/>
      <c r="K233" s="6"/>
    </row>
    <row r="234" spans="2:11" x14ac:dyDescent="0.25">
      <c r="B234" s="6"/>
      <c r="C234" s="6"/>
      <c r="D234" s="6"/>
      <c r="E234" s="6"/>
      <c r="F234" s="6"/>
      <c r="G234" s="6"/>
      <c r="H234" s="6"/>
      <c r="I234" s="6"/>
      <c r="J234" s="6"/>
      <c r="K234" s="6"/>
    </row>
    <row r="235" spans="2:11" x14ac:dyDescent="0.25">
      <c r="B235" s="6"/>
      <c r="C235" s="6"/>
      <c r="D235" s="6"/>
      <c r="E235" s="6"/>
      <c r="F235" s="6"/>
      <c r="G235" s="6"/>
      <c r="H235" s="6"/>
      <c r="I235" s="6"/>
      <c r="J235" s="6"/>
      <c r="K235" s="6"/>
    </row>
    <row r="236" spans="2:11" x14ac:dyDescent="0.25">
      <c r="B236" s="6"/>
      <c r="C236" s="6"/>
      <c r="D236" s="6"/>
      <c r="E236" s="6"/>
      <c r="F236" s="6"/>
      <c r="G236" s="6"/>
      <c r="H236" s="6"/>
      <c r="I236" s="6"/>
      <c r="J236" s="6"/>
      <c r="K236" s="6"/>
    </row>
    <row r="237" spans="2:11" x14ac:dyDescent="0.25">
      <c r="B237" s="6"/>
      <c r="C237" s="6"/>
      <c r="D237" s="6"/>
      <c r="E237" s="6"/>
      <c r="F237" s="6"/>
      <c r="G237" s="6"/>
      <c r="H237" s="6"/>
      <c r="I237" s="6"/>
      <c r="J237" s="6"/>
      <c r="K237" s="6"/>
    </row>
  </sheetData>
  <conditionalFormatting sqref="O115:AB115 O104:X113 Z104:AB113 Y114:AB114 Q116:AB117">
    <cfRule type="cellIs" dxfId="2" priority="5" operator="greaterThan">
      <formula>7</formula>
    </cfRule>
  </conditionalFormatting>
  <conditionalFormatting sqref="O29:X38 Z31:AB38 O40:AB42 Y39:AB39 Z29:AA30">
    <cfRule type="cellIs" dxfId="1" priority="4" operator="greaterThan">
      <formula>24</formula>
    </cfRule>
  </conditionalFormatting>
  <conditionalFormatting sqref="N13:AA14 X3:AA12 N16:AA16 X15:AA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ellIs" dxfId="0" priority="3" operator="greaterThan">
      <formula>500</formula>
    </cfRule>
  </conditionalFormatting>
  <conditionalFormatting sqref="N3:W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orMe">
                <anchor moveWithCells="1" sizeWithCells="1">
                  <from>
                    <xdr:col>12</xdr:col>
                    <xdr:colOff>428625</xdr:colOff>
                    <xdr:row>19</xdr:row>
                    <xdr:rowOff>66675</xdr:rowOff>
                  </from>
                  <to>
                    <xdr:col>14</xdr:col>
                    <xdr:colOff>257175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reator">
                <anchor moveWithCells="1" sizeWithCells="1">
                  <from>
                    <xdr:col>12</xdr:col>
                    <xdr:colOff>447675</xdr:colOff>
                    <xdr:row>25</xdr:row>
                    <xdr:rowOff>0</xdr:rowOff>
                  </from>
                  <to>
                    <xdr:col>16</xdr:col>
                    <xdr:colOff>104775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oggleColorOFF">
                <anchor moveWithCells="1" sizeWithCells="1">
                  <from>
                    <xdr:col>12</xdr:col>
                    <xdr:colOff>66675</xdr:colOff>
                    <xdr:row>21</xdr:row>
                    <xdr:rowOff>180975</xdr:rowOff>
                  </from>
                  <to>
                    <xdr:col>13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oggleColorON">
                <anchor moveWithCells="1" sizeWithCells="1">
                  <from>
                    <xdr:col>13</xdr:col>
                    <xdr:colOff>733425</xdr:colOff>
                    <xdr:row>22</xdr:row>
                    <xdr:rowOff>28575</xdr:rowOff>
                  </from>
                  <to>
                    <xdr:col>15</xdr:col>
                    <xdr:colOff>314325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namenumswitch">
                <anchor moveWithCells="1" sizeWithCells="1">
                  <from>
                    <xdr:col>16</xdr:col>
                    <xdr:colOff>200025</xdr:colOff>
                    <xdr:row>22</xdr:row>
                    <xdr:rowOff>66675</xdr:rowOff>
                  </from>
                  <to>
                    <xdr:col>18</xdr:col>
                    <xdr:colOff>180975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numnameswitch">
                <anchor moveWithCells="1" sizeWithCells="1">
                  <from>
                    <xdr:col>16</xdr:col>
                    <xdr:colOff>180975</xdr:colOff>
                    <xdr:row>24</xdr:row>
                    <xdr:rowOff>38100</xdr:rowOff>
                  </from>
                  <to>
                    <xdr:col>18</xdr:col>
                    <xdr:colOff>180975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find500">
                <anchor moveWithCells="1" sizeWithCells="1">
                  <from>
                    <xdr:col>15</xdr:col>
                    <xdr:colOff>180975</xdr:colOff>
                    <xdr:row>19</xdr:row>
                    <xdr:rowOff>114300</xdr:rowOff>
                  </from>
                  <to>
                    <xdr:col>18</xdr:col>
                    <xdr:colOff>28575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CalView">
                <anchor moveWithCells="1" sizeWithCells="1">
                  <from>
                    <xdr:col>18</xdr:col>
                    <xdr:colOff>333375</xdr:colOff>
                    <xdr:row>20</xdr:row>
                    <xdr:rowOff>161925</xdr:rowOff>
                  </from>
                  <to>
                    <xdr:col>22</xdr:col>
                    <xdr:colOff>9525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Z42"/>
  <sheetViews>
    <sheetView workbookViewId="0">
      <selection activeCell="C22" sqref="C22"/>
    </sheetView>
  </sheetViews>
  <sheetFormatPr defaultColWidth="8.85546875" defaultRowHeight="15" x14ac:dyDescent="0.25"/>
  <sheetData>
    <row r="1" spans="1:26" ht="14.45" customHeight="1" x14ac:dyDescent="0.5">
      <c r="A1" s="23" t="s">
        <v>30</v>
      </c>
      <c r="B1" s="24"/>
      <c r="C1" s="24"/>
      <c r="D1" s="24"/>
      <c r="E1" s="24"/>
      <c r="F1" s="24"/>
      <c r="G1" s="24"/>
      <c r="H1" s="19"/>
      <c r="I1" s="23" t="s">
        <v>31</v>
      </c>
      <c r="J1" s="24"/>
      <c r="K1" s="24"/>
      <c r="L1" s="24"/>
      <c r="M1" s="24"/>
      <c r="N1" s="24"/>
      <c r="O1" s="24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</row>
    <row r="2" spans="1:26" x14ac:dyDescent="0.25">
      <c r="A2" s="24"/>
      <c r="B2" s="24"/>
      <c r="C2" s="24"/>
      <c r="D2" s="24"/>
      <c r="E2" s="24"/>
      <c r="F2" s="24"/>
      <c r="G2" s="24"/>
      <c r="H2" s="19"/>
      <c r="I2" s="24">
        <v>4</v>
      </c>
      <c r="J2" s="24"/>
      <c r="K2" s="24"/>
      <c r="L2" s="24"/>
      <c r="M2" s="24"/>
      <c r="N2" s="24"/>
      <c r="O2" s="24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</row>
    <row r="3" spans="1:26" x14ac:dyDescent="0.25">
      <c r="A3" s="21" t="s">
        <v>4</v>
      </c>
      <c r="B3" s="21" t="s">
        <v>5</v>
      </c>
      <c r="C3" s="21" t="s">
        <v>6</v>
      </c>
      <c r="D3" s="21" t="s">
        <v>7</v>
      </c>
      <c r="E3" s="21" t="s">
        <v>1</v>
      </c>
      <c r="F3" s="21" t="s">
        <v>2</v>
      </c>
      <c r="G3" s="21" t="s">
        <v>3</v>
      </c>
      <c r="H3" s="19"/>
      <c r="I3" s="21" t="s">
        <v>4</v>
      </c>
      <c r="J3" s="21" t="s">
        <v>5</v>
      </c>
      <c r="K3" s="21" t="s">
        <v>6</v>
      </c>
      <c r="L3" s="21" t="s">
        <v>7</v>
      </c>
      <c r="M3" s="21" t="s">
        <v>1</v>
      </c>
      <c r="N3" s="21" t="s">
        <v>2</v>
      </c>
      <c r="O3" s="21" t="s">
        <v>3</v>
      </c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</row>
    <row r="4" spans="1:26" x14ac:dyDescent="0.25">
      <c r="A4" s="22">
        <v>1</v>
      </c>
      <c r="B4" s="22">
        <v>2</v>
      </c>
      <c r="C4" s="22">
        <v>3</v>
      </c>
      <c r="D4" s="22">
        <v>4</v>
      </c>
      <c r="E4" s="22">
        <v>5</v>
      </c>
      <c r="F4" s="22">
        <v>6</v>
      </c>
      <c r="G4" s="22">
        <v>7</v>
      </c>
      <c r="H4" s="19"/>
      <c r="I4" s="22"/>
      <c r="J4" s="22"/>
      <c r="K4" s="25">
        <v>1</v>
      </c>
      <c r="L4" s="25">
        <v>2</v>
      </c>
      <c r="M4" s="25">
        <v>3</v>
      </c>
      <c r="N4" s="29">
        <v>4</v>
      </c>
      <c r="O4" s="29">
        <v>5</v>
      </c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1:26" x14ac:dyDescent="0.25">
      <c r="A5" s="21"/>
      <c r="B5" s="21"/>
      <c r="C5" s="21"/>
      <c r="D5" s="21"/>
      <c r="E5" s="21"/>
      <c r="F5" s="21"/>
      <c r="G5" s="21"/>
      <c r="H5" s="19"/>
      <c r="I5" s="21"/>
      <c r="J5" s="21"/>
      <c r="K5" s="26" t="s">
        <v>18</v>
      </c>
      <c r="L5" s="26" t="s">
        <v>18</v>
      </c>
      <c r="M5" s="26" t="s">
        <v>18</v>
      </c>
      <c r="N5" s="30">
        <v>4</v>
      </c>
      <c r="O5" s="30">
        <v>4</v>
      </c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27"/>
      <c r="L6" s="27"/>
      <c r="M6" s="27"/>
      <c r="N6" s="31"/>
      <c r="O6" s="31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1:26" x14ac:dyDescent="0.25">
      <c r="A7" s="22">
        <v>8</v>
      </c>
      <c r="B7" s="22">
        <v>9</v>
      </c>
      <c r="C7" s="22">
        <v>10</v>
      </c>
      <c r="D7" s="22">
        <v>11</v>
      </c>
      <c r="E7" s="22">
        <v>12</v>
      </c>
      <c r="F7" s="22">
        <v>13</v>
      </c>
      <c r="G7" s="22">
        <v>14</v>
      </c>
      <c r="H7" s="19"/>
      <c r="I7" s="29">
        <v>6</v>
      </c>
      <c r="J7" s="29">
        <v>7</v>
      </c>
      <c r="K7" s="25">
        <v>8</v>
      </c>
      <c r="L7" s="25">
        <v>9</v>
      </c>
      <c r="M7" s="25">
        <v>10</v>
      </c>
      <c r="N7" s="25">
        <v>11</v>
      </c>
      <c r="O7" s="25">
        <v>12</v>
      </c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26" x14ac:dyDescent="0.25">
      <c r="A8" s="21"/>
      <c r="B8" s="21"/>
      <c r="C8" s="21"/>
      <c r="D8" s="21"/>
      <c r="E8" s="21"/>
      <c r="F8" s="21"/>
      <c r="G8" s="21"/>
      <c r="H8" s="19"/>
      <c r="I8" s="30">
        <v>4</v>
      </c>
      <c r="J8" s="30" t="s">
        <v>27</v>
      </c>
      <c r="K8" s="26" t="s">
        <v>24</v>
      </c>
      <c r="L8" s="26" t="s">
        <v>24</v>
      </c>
      <c r="M8" s="26" t="s">
        <v>24</v>
      </c>
      <c r="N8" s="26" t="s">
        <v>22</v>
      </c>
      <c r="O8" s="26" t="s">
        <v>22</v>
      </c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26" x14ac:dyDescent="0.25">
      <c r="A9" s="19"/>
      <c r="B9" s="19"/>
      <c r="C9" s="19"/>
      <c r="D9" s="19"/>
      <c r="E9" s="19"/>
      <c r="F9" s="19"/>
      <c r="G9" s="19"/>
      <c r="H9" s="19"/>
      <c r="I9" s="31"/>
      <c r="J9" s="31"/>
      <c r="K9" s="27"/>
      <c r="L9" s="27"/>
      <c r="M9" s="27"/>
      <c r="N9" s="27"/>
      <c r="O9" s="27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 spans="1:26" x14ac:dyDescent="0.25">
      <c r="A10" s="22">
        <v>15</v>
      </c>
      <c r="B10" s="22">
        <v>16</v>
      </c>
      <c r="C10" s="22">
        <v>17</v>
      </c>
      <c r="D10" s="22">
        <v>18</v>
      </c>
      <c r="E10" s="25">
        <v>19</v>
      </c>
      <c r="F10" s="25">
        <v>20</v>
      </c>
      <c r="G10" s="25">
        <v>21</v>
      </c>
      <c r="H10" s="19"/>
      <c r="I10" s="25">
        <v>13</v>
      </c>
      <c r="J10" s="29">
        <v>14</v>
      </c>
      <c r="K10" s="29">
        <v>15</v>
      </c>
      <c r="L10" s="29">
        <v>16</v>
      </c>
      <c r="M10" s="29">
        <v>17</v>
      </c>
      <c r="N10" s="25">
        <v>18</v>
      </c>
      <c r="O10" s="25">
        <v>19</v>
      </c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</row>
    <row r="11" spans="1:26" x14ac:dyDescent="0.25">
      <c r="A11" s="21"/>
      <c r="B11" s="21"/>
      <c r="C11" s="21"/>
      <c r="D11" s="21"/>
      <c r="E11" s="26" t="s">
        <v>19</v>
      </c>
      <c r="F11" s="26" t="s">
        <v>19</v>
      </c>
      <c r="G11" s="26" t="s">
        <v>19</v>
      </c>
      <c r="H11" s="19"/>
      <c r="I11" s="26" t="s">
        <v>22</v>
      </c>
      <c r="J11" s="30" t="s">
        <v>27</v>
      </c>
      <c r="K11" s="30">
        <v>6</v>
      </c>
      <c r="L11" s="30">
        <v>6</v>
      </c>
      <c r="M11" s="30">
        <v>6</v>
      </c>
      <c r="N11" s="26" t="s">
        <v>20</v>
      </c>
      <c r="O11" s="26" t="s">
        <v>20</v>
      </c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spans="1:26" x14ac:dyDescent="0.25">
      <c r="A12" s="19"/>
      <c r="B12" s="19"/>
      <c r="C12" s="19"/>
      <c r="D12" s="19"/>
      <c r="E12" s="27"/>
      <c r="F12" s="27"/>
      <c r="G12" s="27"/>
      <c r="H12" s="19"/>
      <c r="I12" s="27"/>
      <c r="J12" s="31"/>
      <c r="K12" s="31"/>
      <c r="L12" s="31"/>
      <c r="M12" s="31"/>
      <c r="N12" s="27"/>
      <c r="O12" s="27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</row>
    <row r="13" spans="1:26" x14ac:dyDescent="0.25">
      <c r="A13" s="25">
        <v>22</v>
      </c>
      <c r="B13" s="25">
        <v>23</v>
      </c>
      <c r="C13" s="25">
        <v>24</v>
      </c>
      <c r="D13" s="25">
        <v>25</v>
      </c>
      <c r="E13" s="29">
        <v>26</v>
      </c>
      <c r="F13" s="29">
        <v>27</v>
      </c>
      <c r="G13" s="29">
        <v>28</v>
      </c>
      <c r="H13" s="19"/>
      <c r="I13" s="25">
        <v>20</v>
      </c>
      <c r="J13" s="29">
        <v>21</v>
      </c>
      <c r="K13" s="29">
        <v>22</v>
      </c>
      <c r="L13" s="29">
        <v>23</v>
      </c>
      <c r="M13" s="29">
        <v>24</v>
      </c>
      <c r="N13" s="29">
        <v>25</v>
      </c>
      <c r="O13" s="29">
        <v>26</v>
      </c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</row>
    <row r="14" spans="1:26" x14ac:dyDescent="0.25">
      <c r="A14" s="26" t="s">
        <v>19</v>
      </c>
      <c r="B14" s="26" t="s">
        <v>18</v>
      </c>
      <c r="C14" s="26" t="s">
        <v>18</v>
      </c>
      <c r="D14" s="26" t="s">
        <v>18</v>
      </c>
      <c r="E14" s="30">
        <v>3</v>
      </c>
      <c r="F14" s="30">
        <v>3</v>
      </c>
      <c r="G14" s="30">
        <v>3</v>
      </c>
      <c r="H14" s="19"/>
      <c r="I14" s="26" t="s">
        <v>20</v>
      </c>
      <c r="J14" s="30">
        <v>7</v>
      </c>
      <c r="K14" s="30">
        <v>7</v>
      </c>
      <c r="L14" s="30">
        <v>7</v>
      </c>
      <c r="M14" s="30">
        <v>10</v>
      </c>
      <c r="N14" s="30">
        <v>10</v>
      </c>
      <c r="O14" s="30">
        <v>10</v>
      </c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</row>
    <row r="15" spans="1:26" x14ac:dyDescent="0.25">
      <c r="A15" s="27"/>
      <c r="B15" s="27"/>
      <c r="C15" s="27"/>
      <c r="D15" s="27"/>
      <c r="E15" s="31"/>
      <c r="F15" s="31"/>
      <c r="G15" s="31"/>
      <c r="H15" s="19"/>
      <c r="I15" s="27"/>
      <c r="J15" s="31"/>
      <c r="K15" s="31"/>
      <c r="L15" s="31"/>
      <c r="M15" s="31"/>
      <c r="N15" s="31"/>
      <c r="O15" s="31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</row>
    <row r="16" spans="1:26" x14ac:dyDescent="0.25">
      <c r="A16" s="29">
        <v>29</v>
      </c>
      <c r="B16" s="29">
        <v>30</v>
      </c>
      <c r="C16" s="22"/>
      <c r="D16" s="22">
        <v>0.1</v>
      </c>
      <c r="G16" s="22"/>
      <c r="H16" s="19"/>
      <c r="I16" s="25">
        <v>27</v>
      </c>
      <c r="J16" s="25">
        <v>28</v>
      </c>
      <c r="K16" s="29">
        <v>29</v>
      </c>
      <c r="L16" s="29">
        <v>30</v>
      </c>
      <c r="M16" s="25">
        <v>31</v>
      </c>
      <c r="N16" s="22"/>
      <c r="O16" s="22">
        <v>0.2</v>
      </c>
      <c r="R16" s="19"/>
      <c r="S16" s="19"/>
      <c r="T16" s="19"/>
      <c r="U16" s="19"/>
      <c r="V16" s="19"/>
      <c r="W16" s="19"/>
      <c r="X16" s="19"/>
      <c r="Y16" s="19"/>
      <c r="Z16" s="19"/>
    </row>
    <row r="17" spans="1:26" x14ac:dyDescent="0.25">
      <c r="A17" s="30">
        <v>4</v>
      </c>
      <c r="B17" s="30">
        <v>4</v>
      </c>
      <c r="C17" s="21"/>
      <c r="D17" s="21"/>
      <c r="E17" s="21"/>
      <c r="F17" s="21"/>
      <c r="G17" s="21"/>
      <c r="H17" s="19"/>
      <c r="I17" s="26" t="s">
        <v>20</v>
      </c>
      <c r="J17" s="26" t="s">
        <v>20</v>
      </c>
      <c r="K17" s="30">
        <v>2</v>
      </c>
      <c r="L17" s="30">
        <v>2</v>
      </c>
      <c r="M17" s="26" t="s">
        <v>14</v>
      </c>
      <c r="N17" s="21"/>
      <c r="O17" s="21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 spans="1:26" x14ac:dyDescent="0.25">
      <c r="A18" s="31"/>
      <c r="B18" s="31"/>
      <c r="C18" s="19"/>
      <c r="D18" s="19"/>
      <c r="E18" s="19"/>
      <c r="F18" s="19"/>
      <c r="G18" s="19"/>
      <c r="H18" s="19"/>
      <c r="I18" s="27"/>
      <c r="J18" s="27"/>
      <c r="K18" s="31"/>
      <c r="L18" s="31"/>
      <c r="M18" s="27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</row>
    <row r="19" spans="1:26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26" ht="14.45" customHeight="1" x14ac:dyDescent="0.5">
      <c r="A20" s="23" t="s">
        <v>32</v>
      </c>
      <c r="B20" s="24"/>
      <c r="C20" s="24"/>
      <c r="D20" s="24"/>
      <c r="E20" s="24"/>
      <c r="F20" s="24"/>
      <c r="G20" s="24"/>
      <c r="H20" s="19"/>
      <c r="I20" s="23" t="s">
        <v>33</v>
      </c>
      <c r="J20" s="24"/>
      <c r="K20" s="24"/>
      <c r="L20" s="24"/>
      <c r="M20" s="24"/>
      <c r="N20" s="24"/>
      <c r="O20" s="24"/>
      <c r="P20" s="19"/>
      <c r="Q20" s="19"/>
      <c r="R20" s="19"/>
    </row>
    <row r="21" spans="1:26" x14ac:dyDescent="0.25">
      <c r="A21" s="24">
        <v>7</v>
      </c>
      <c r="B21" s="24"/>
      <c r="C21" s="24"/>
      <c r="D21" s="24"/>
      <c r="E21" s="24"/>
      <c r="F21" s="24"/>
      <c r="G21" s="24"/>
      <c r="H21" s="19"/>
      <c r="I21" s="24"/>
      <c r="J21" s="24"/>
      <c r="K21" s="24"/>
      <c r="L21" s="24"/>
      <c r="M21" s="24"/>
      <c r="N21" s="24"/>
      <c r="O21" s="24"/>
      <c r="P21" s="19"/>
      <c r="Q21" s="19"/>
      <c r="R21" s="19"/>
    </row>
    <row r="22" spans="1:26" x14ac:dyDescent="0.25">
      <c r="A22" s="21" t="s">
        <v>4</v>
      </c>
      <c r="B22" s="21" t="s">
        <v>5</v>
      </c>
      <c r="C22" s="21" t="s">
        <v>6</v>
      </c>
      <c r="D22" s="21" t="s">
        <v>7</v>
      </c>
      <c r="E22" s="21" t="s">
        <v>1</v>
      </c>
      <c r="F22" s="21" t="s">
        <v>2</v>
      </c>
      <c r="G22" s="21" t="s">
        <v>3</v>
      </c>
      <c r="H22" s="21"/>
      <c r="I22" s="21" t="s">
        <v>4</v>
      </c>
      <c r="J22" s="21" t="s">
        <v>5</v>
      </c>
      <c r="K22" s="21" t="s">
        <v>6</v>
      </c>
      <c r="L22" s="21" t="s">
        <v>7</v>
      </c>
      <c r="M22" s="21" t="s">
        <v>1</v>
      </c>
      <c r="N22" s="21" t="s">
        <v>2</v>
      </c>
      <c r="O22" s="21" t="s">
        <v>3</v>
      </c>
      <c r="P22" s="19"/>
    </row>
    <row r="23" spans="1:26" x14ac:dyDescent="0.25">
      <c r="A23" s="22"/>
      <c r="B23" s="22"/>
      <c r="C23" s="22"/>
      <c r="D23" s="22"/>
      <c r="E23" s="22"/>
      <c r="F23" s="25">
        <v>1</v>
      </c>
      <c r="G23" s="29">
        <v>2</v>
      </c>
      <c r="H23" s="22"/>
      <c r="I23" s="22"/>
      <c r="J23" s="25">
        <v>1</v>
      </c>
      <c r="K23" s="25">
        <v>2</v>
      </c>
      <c r="L23" s="29">
        <v>3</v>
      </c>
      <c r="M23" s="29">
        <v>4</v>
      </c>
      <c r="N23" s="29">
        <v>5</v>
      </c>
      <c r="O23" s="29">
        <v>6</v>
      </c>
      <c r="P23" s="19"/>
    </row>
    <row r="24" spans="1:26" x14ac:dyDescent="0.25">
      <c r="A24" s="21"/>
      <c r="B24" s="21"/>
      <c r="C24" s="21"/>
      <c r="D24" s="21"/>
      <c r="E24" s="21"/>
      <c r="F24" s="26" t="s">
        <v>14</v>
      </c>
      <c r="G24" s="30">
        <v>6</v>
      </c>
      <c r="H24" s="21"/>
      <c r="I24" s="21"/>
      <c r="J24" s="26" t="s">
        <v>14</v>
      </c>
      <c r="K24" s="26" t="s">
        <v>14</v>
      </c>
      <c r="L24" s="30">
        <v>5</v>
      </c>
      <c r="M24" s="30">
        <v>5</v>
      </c>
      <c r="N24" s="30">
        <v>5</v>
      </c>
      <c r="O24" s="30">
        <v>2</v>
      </c>
      <c r="P24" s="21"/>
    </row>
    <row r="25" spans="1:26" x14ac:dyDescent="0.25">
      <c r="A25" s="19"/>
      <c r="B25" s="19"/>
      <c r="C25" s="19"/>
      <c r="D25" s="19"/>
      <c r="E25" s="19"/>
      <c r="F25" s="27"/>
      <c r="G25" s="31"/>
      <c r="H25" s="19"/>
      <c r="I25" s="19"/>
      <c r="J25" s="27"/>
      <c r="K25" s="27"/>
      <c r="L25" s="31"/>
      <c r="M25" s="31"/>
      <c r="N25" s="31"/>
      <c r="O25" s="31"/>
      <c r="P25" s="22"/>
    </row>
    <row r="26" spans="1:26" x14ac:dyDescent="0.25">
      <c r="A26" s="29">
        <v>3</v>
      </c>
      <c r="B26" s="29">
        <v>4</v>
      </c>
      <c r="C26" s="25">
        <v>5</v>
      </c>
      <c r="D26" s="25">
        <v>6</v>
      </c>
      <c r="E26" s="25">
        <v>7</v>
      </c>
      <c r="F26" s="25">
        <v>8</v>
      </c>
      <c r="G26" s="25">
        <v>9</v>
      </c>
      <c r="H26" s="22"/>
      <c r="I26" s="29">
        <v>7</v>
      </c>
      <c r="J26" s="29">
        <v>8</v>
      </c>
      <c r="K26" s="29">
        <v>9</v>
      </c>
      <c r="L26" s="29">
        <v>10</v>
      </c>
      <c r="M26" s="29">
        <v>11</v>
      </c>
      <c r="N26" s="29">
        <v>12</v>
      </c>
      <c r="O26" s="29">
        <v>13</v>
      </c>
      <c r="P26" s="21"/>
    </row>
    <row r="27" spans="1:26" x14ac:dyDescent="0.25">
      <c r="A27" s="30">
        <v>6</v>
      </c>
      <c r="B27" s="30" t="s">
        <v>27</v>
      </c>
      <c r="C27" s="26" t="s">
        <v>26</v>
      </c>
      <c r="D27" s="26" t="s">
        <v>26</v>
      </c>
      <c r="E27" s="26" t="s">
        <v>26</v>
      </c>
      <c r="F27" s="26" t="s">
        <v>13</v>
      </c>
      <c r="G27" s="26" t="s">
        <v>13</v>
      </c>
      <c r="H27" s="21"/>
      <c r="I27" s="30">
        <v>2</v>
      </c>
      <c r="J27" s="30"/>
      <c r="K27" s="30"/>
      <c r="L27" s="30"/>
      <c r="M27" s="30"/>
      <c r="N27" s="30"/>
      <c r="O27" s="30"/>
      <c r="P27" s="19"/>
    </row>
    <row r="28" spans="1:26" x14ac:dyDescent="0.25">
      <c r="A28" s="31"/>
      <c r="B28" s="31"/>
      <c r="C28" s="27"/>
      <c r="D28" s="27"/>
      <c r="E28" s="27"/>
      <c r="F28" s="27"/>
      <c r="G28" s="27"/>
      <c r="H28" s="19"/>
      <c r="I28" s="31"/>
      <c r="J28" s="31"/>
      <c r="K28" s="31"/>
      <c r="L28" s="31"/>
      <c r="M28" s="31"/>
      <c r="N28" s="31"/>
      <c r="O28" s="31"/>
      <c r="P28" s="22"/>
    </row>
    <row r="29" spans="1:26" x14ac:dyDescent="0.25">
      <c r="A29" s="25">
        <v>10</v>
      </c>
      <c r="B29" s="29">
        <v>11</v>
      </c>
      <c r="C29" s="29">
        <v>12</v>
      </c>
      <c r="D29" s="29">
        <v>13</v>
      </c>
      <c r="E29" s="25">
        <v>14</v>
      </c>
      <c r="F29" s="25">
        <v>15</v>
      </c>
      <c r="G29" s="25">
        <v>16</v>
      </c>
      <c r="H29" s="22"/>
      <c r="I29" s="22">
        <v>14</v>
      </c>
      <c r="J29" s="22">
        <v>15</v>
      </c>
      <c r="K29" s="22">
        <v>16</v>
      </c>
      <c r="L29" s="22">
        <v>17</v>
      </c>
      <c r="M29" s="22">
        <v>18</v>
      </c>
      <c r="N29" s="22">
        <v>19</v>
      </c>
      <c r="O29" s="22">
        <v>20</v>
      </c>
      <c r="P29" s="21"/>
    </row>
    <row r="30" spans="1:26" x14ac:dyDescent="0.25">
      <c r="A30" s="26" t="s">
        <v>13</v>
      </c>
      <c r="B30" s="30">
        <v>3</v>
      </c>
      <c r="C30" s="30">
        <v>3</v>
      </c>
      <c r="D30" s="30">
        <v>3</v>
      </c>
      <c r="E30" s="26" t="s">
        <v>15</v>
      </c>
      <c r="F30" s="26" t="s">
        <v>15</v>
      </c>
      <c r="G30" s="26" t="s">
        <v>15</v>
      </c>
      <c r="H30" s="21"/>
      <c r="I30" s="21"/>
      <c r="J30" s="21"/>
      <c r="K30" s="21"/>
      <c r="L30" s="21"/>
      <c r="M30" s="21"/>
      <c r="N30" s="21"/>
      <c r="O30" s="21"/>
      <c r="P30" s="19"/>
    </row>
    <row r="31" spans="1:26" x14ac:dyDescent="0.25">
      <c r="A31" s="27"/>
      <c r="B31" s="31"/>
      <c r="C31" s="31"/>
      <c r="D31" s="31"/>
      <c r="E31" s="27"/>
      <c r="F31" s="27"/>
      <c r="G31" s="27"/>
      <c r="H31" s="19"/>
      <c r="I31" s="19"/>
      <c r="J31" s="19"/>
      <c r="K31" s="19"/>
      <c r="L31" s="19"/>
      <c r="M31" s="19"/>
      <c r="N31" s="19"/>
      <c r="O31" s="19"/>
      <c r="P31" s="22"/>
    </row>
    <row r="32" spans="1:26" x14ac:dyDescent="0.25">
      <c r="A32" s="29">
        <v>17</v>
      </c>
      <c r="B32" s="29">
        <v>18</v>
      </c>
      <c r="C32" s="29">
        <v>19</v>
      </c>
      <c r="D32" s="29">
        <v>20</v>
      </c>
      <c r="E32" s="29">
        <v>21</v>
      </c>
      <c r="F32" s="29">
        <v>22</v>
      </c>
      <c r="G32" s="29">
        <v>23</v>
      </c>
      <c r="H32" s="22"/>
      <c r="I32" s="22">
        <v>21</v>
      </c>
      <c r="J32" s="22">
        <v>22</v>
      </c>
      <c r="K32" s="22">
        <v>23</v>
      </c>
      <c r="L32" s="22">
        <v>24</v>
      </c>
      <c r="M32" s="22">
        <v>25</v>
      </c>
      <c r="N32" s="22">
        <v>26</v>
      </c>
      <c r="O32" s="22">
        <v>27</v>
      </c>
      <c r="P32" s="21"/>
    </row>
    <row r="33" spans="1:26" x14ac:dyDescent="0.25">
      <c r="A33" s="30" t="s">
        <v>27</v>
      </c>
      <c r="B33" s="30" t="s">
        <v>27</v>
      </c>
      <c r="C33" s="30">
        <v>9</v>
      </c>
      <c r="D33" s="30">
        <v>9</v>
      </c>
      <c r="E33" s="30">
        <v>9</v>
      </c>
      <c r="F33" s="30">
        <v>8</v>
      </c>
      <c r="G33" s="30">
        <v>8</v>
      </c>
      <c r="H33" s="21"/>
      <c r="I33" s="21"/>
      <c r="J33" s="21"/>
      <c r="K33" s="21"/>
      <c r="L33" s="21"/>
      <c r="M33" s="21"/>
      <c r="N33" s="21"/>
      <c r="O33" s="21"/>
      <c r="P33" s="19"/>
    </row>
    <row r="34" spans="1:26" x14ac:dyDescent="0.25">
      <c r="A34" s="31"/>
      <c r="B34" s="31"/>
      <c r="C34" s="31"/>
      <c r="D34" s="31"/>
      <c r="E34" s="31"/>
      <c r="F34" s="31"/>
      <c r="G34" s="31"/>
      <c r="H34" s="19"/>
      <c r="I34" s="19"/>
      <c r="J34" s="19"/>
      <c r="K34" s="19"/>
      <c r="L34" s="19"/>
      <c r="M34" s="19"/>
      <c r="N34" s="19"/>
      <c r="O34" s="19"/>
      <c r="P34" s="22"/>
    </row>
    <row r="35" spans="1:26" x14ac:dyDescent="0.25">
      <c r="A35" s="29">
        <v>24</v>
      </c>
      <c r="B35" s="25">
        <v>25</v>
      </c>
      <c r="C35" s="25">
        <v>26</v>
      </c>
      <c r="D35" s="25">
        <v>27</v>
      </c>
      <c r="E35" s="29">
        <v>28</v>
      </c>
      <c r="F35" s="29">
        <v>29</v>
      </c>
      <c r="G35" s="29">
        <v>30</v>
      </c>
      <c r="H35" s="22"/>
      <c r="I35" s="22">
        <v>28</v>
      </c>
      <c r="J35" s="22">
        <v>29</v>
      </c>
      <c r="K35" s="22">
        <v>30</v>
      </c>
      <c r="L35" s="22"/>
      <c r="M35" s="22"/>
      <c r="N35" s="22"/>
      <c r="O35" s="22"/>
      <c r="P35" s="21"/>
    </row>
    <row r="36" spans="1:26" x14ac:dyDescent="0.25">
      <c r="A36" s="30">
        <v>8</v>
      </c>
      <c r="B36" s="26" t="s">
        <v>15</v>
      </c>
      <c r="C36" s="26" t="s">
        <v>15</v>
      </c>
      <c r="D36" s="26" t="s">
        <v>15</v>
      </c>
      <c r="E36" s="30">
        <v>5</v>
      </c>
      <c r="F36" s="30">
        <v>5</v>
      </c>
      <c r="G36" s="30">
        <v>5</v>
      </c>
      <c r="H36" s="21"/>
      <c r="P36" s="19"/>
      <c r="X36" s="19"/>
      <c r="Y36" s="19"/>
      <c r="Z36" s="19"/>
    </row>
    <row r="37" spans="1:26" x14ac:dyDescent="0.25">
      <c r="A37" s="32"/>
      <c r="B37" s="28"/>
      <c r="C37" s="28"/>
      <c r="D37" s="28"/>
      <c r="E37" s="32"/>
      <c r="F37" s="32"/>
      <c r="G37" s="32"/>
      <c r="P37" s="22"/>
      <c r="X37" s="19"/>
      <c r="Y37" s="19"/>
      <c r="Z37" s="19"/>
    </row>
    <row r="38" spans="1:26" x14ac:dyDescent="0.25">
      <c r="A38" s="28">
        <v>31</v>
      </c>
      <c r="C38">
        <v>0.3</v>
      </c>
      <c r="P38" s="21"/>
      <c r="Q38" s="19"/>
      <c r="R38" s="19"/>
      <c r="S38" s="19"/>
      <c r="T38" s="19"/>
      <c r="U38" s="19"/>
      <c r="V38" s="19"/>
      <c r="W38" s="19"/>
      <c r="X38" s="19"/>
      <c r="Y38" s="19"/>
      <c r="Z38" s="19"/>
    </row>
    <row r="39" spans="1:26" x14ac:dyDescent="0.25">
      <c r="A39" s="27" t="s">
        <v>14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</row>
    <row r="40" spans="1:26" x14ac:dyDescent="0.25">
      <c r="A40" s="27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</row>
    <row r="41" spans="1:2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</row>
    <row r="42" spans="1:2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T32"/>
  <sheetViews>
    <sheetView workbookViewId="0">
      <selection activeCell="B1" sqref="B1:K11"/>
    </sheetView>
  </sheetViews>
  <sheetFormatPr defaultColWidth="8.85546875" defaultRowHeight="15" x14ac:dyDescent="0.25"/>
  <sheetData>
    <row r="1" spans="1:20" x14ac:dyDescent="0.25">
      <c r="A1" s="4"/>
      <c r="B1" s="16" t="s">
        <v>23</v>
      </c>
      <c r="C1" s="16" t="s">
        <v>19</v>
      </c>
      <c r="D1" s="16" t="s">
        <v>14</v>
      </c>
      <c r="E1" s="16" t="s">
        <v>20</v>
      </c>
      <c r="F1" s="16" t="s">
        <v>18</v>
      </c>
      <c r="G1" s="16" t="s">
        <v>15</v>
      </c>
      <c r="H1" s="16" t="s">
        <v>21</v>
      </c>
      <c r="I1" s="16" t="s">
        <v>16</v>
      </c>
      <c r="J1" s="16" t="s">
        <v>17</v>
      </c>
      <c r="K1" s="16" t="s">
        <v>25</v>
      </c>
      <c r="L1" s="47"/>
      <c r="M1" s="47"/>
      <c r="N1" s="47"/>
      <c r="O1" s="47"/>
      <c r="P1" s="13"/>
      <c r="Q1" s="13"/>
      <c r="R1" s="13"/>
      <c r="S1" s="13"/>
      <c r="T1" s="13"/>
    </row>
    <row r="2" spans="1:20" x14ac:dyDescent="0.25">
      <c r="A2" s="7">
        <v>1</v>
      </c>
      <c r="B2" s="8" t="s">
        <v>36</v>
      </c>
      <c r="C2" s="8" t="s">
        <v>37</v>
      </c>
      <c r="D2" s="8" t="s">
        <v>38</v>
      </c>
      <c r="E2" s="8" t="s">
        <v>39</v>
      </c>
      <c r="F2" s="8" t="s">
        <v>40</v>
      </c>
      <c r="G2" s="8" t="s">
        <v>41</v>
      </c>
      <c r="H2" s="8" t="s">
        <v>42</v>
      </c>
      <c r="I2" s="8" t="s">
        <v>43</v>
      </c>
      <c r="J2" s="8" t="s">
        <v>44</v>
      </c>
      <c r="K2" s="8" t="s">
        <v>45</v>
      </c>
      <c r="L2" s="55"/>
      <c r="M2" s="55"/>
      <c r="N2" s="55"/>
      <c r="O2" s="55"/>
      <c r="P2" s="13"/>
      <c r="Q2" s="13"/>
      <c r="R2" s="13"/>
      <c r="S2" s="13"/>
      <c r="T2" s="13"/>
    </row>
    <row r="3" spans="1:20" x14ac:dyDescent="0.25">
      <c r="A3" s="7">
        <v>2</v>
      </c>
      <c r="B3" s="8" t="s">
        <v>37</v>
      </c>
      <c r="C3" s="8" t="s">
        <v>37</v>
      </c>
      <c r="D3" s="8" t="s">
        <v>38</v>
      </c>
      <c r="E3" s="8" t="s">
        <v>39</v>
      </c>
      <c r="F3" s="8" t="s">
        <v>40</v>
      </c>
      <c r="G3" s="8" t="s">
        <v>41</v>
      </c>
      <c r="H3" s="8" t="s">
        <v>42</v>
      </c>
      <c r="I3" s="8" t="s">
        <v>43</v>
      </c>
      <c r="J3" s="8" t="s">
        <v>44</v>
      </c>
      <c r="K3" s="8" t="s">
        <v>45</v>
      </c>
      <c r="L3" s="55"/>
      <c r="M3" s="55"/>
      <c r="N3" s="55"/>
      <c r="O3" s="55"/>
      <c r="P3" s="13"/>
      <c r="Q3" s="13"/>
      <c r="R3" s="13"/>
      <c r="S3" s="13"/>
      <c r="T3" s="13"/>
    </row>
    <row r="4" spans="1:20" x14ac:dyDescent="0.25">
      <c r="A4" s="7">
        <v>3</v>
      </c>
      <c r="B4" s="8" t="s">
        <v>38</v>
      </c>
      <c r="C4" s="8" t="s">
        <v>37</v>
      </c>
      <c r="D4" s="8" t="s">
        <v>38</v>
      </c>
      <c r="E4" s="8" t="s">
        <v>39</v>
      </c>
      <c r="F4" s="8" t="s">
        <v>40</v>
      </c>
      <c r="G4" s="8" t="s">
        <v>41</v>
      </c>
      <c r="H4" s="8" t="s">
        <v>42</v>
      </c>
      <c r="I4" s="8" t="s">
        <v>43</v>
      </c>
      <c r="J4" s="8" t="s">
        <v>44</v>
      </c>
      <c r="K4" s="8" t="s">
        <v>45</v>
      </c>
      <c r="L4" s="55"/>
      <c r="M4" s="55"/>
      <c r="N4" s="55"/>
      <c r="O4" s="55"/>
      <c r="P4" s="13"/>
      <c r="Q4" s="13"/>
      <c r="R4" s="13"/>
      <c r="S4" s="13"/>
      <c r="T4" s="13"/>
    </row>
    <row r="5" spans="1:20" x14ac:dyDescent="0.25">
      <c r="A5" s="7">
        <v>4</v>
      </c>
      <c r="B5" s="8" t="s">
        <v>39</v>
      </c>
      <c r="C5" s="8" t="s">
        <v>37</v>
      </c>
      <c r="D5" s="8" t="s">
        <v>38</v>
      </c>
      <c r="E5" s="8" t="s">
        <v>39</v>
      </c>
      <c r="F5" s="8" t="s">
        <v>40</v>
      </c>
      <c r="G5" s="8" t="s">
        <v>41</v>
      </c>
      <c r="H5" s="8" t="s">
        <v>42</v>
      </c>
      <c r="I5" s="8" t="s">
        <v>43</v>
      </c>
      <c r="J5" s="8" t="s">
        <v>44</v>
      </c>
      <c r="K5" s="8" t="s">
        <v>45</v>
      </c>
      <c r="L5" s="55"/>
      <c r="M5" s="55"/>
      <c r="N5" s="55"/>
      <c r="O5" s="55"/>
      <c r="P5" s="13"/>
      <c r="Q5" s="13"/>
      <c r="R5" s="13"/>
      <c r="S5" s="13"/>
      <c r="T5" s="13"/>
    </row>
    <row r="6" spans="1:20" x14ac:dyDescent="0.25">
      <c r="A6" s="7">
        <v>5</v>
      </c>
      <c r="B6" s="8" t="s">
        <v>40</v>
      </c>
      <c r="C6" s="8" t="s">
        <v>37</v>
      </c>
      <c r="D6" s="8" t="s">
        <v>38</v>
      </c>
      <c r="E6" s="8" t="s">
        <v>39</v>
      </c>
      <c r="F6" s="8" t="s">
        <v>40</v>
      </c>
      <c r="G6" s="8" t="s">
        <v>41</v>
      </c>
      <c r="H6" s="8" t="s">
        <v>42</v>
      </c>
      <c r="I6" s="8" t="s">
        <v>43</v>
      </c>
      <c r="J6" s="8" t="s">
        <v>44</v>
      </c>
      <c r="K6" s="8" t="s">
        <v>45</v>
      </c>
      <c r="L6" s="55"/>
      <c r="M6" s="55"/>
      <c r="N6" s="55"/>
      <c r="O6" s="55"/>
      <c r="P6" s="13"/>
      <c r="Q6" s="13"/>
      <c r="R6" s="13"/>
      <c r="S6" s="13"/>
      <c r="T6" s="13"/>
    </row>
    <row r="7" spans="1:20" x14ac:dyDescent="0.25">
      <c r="A7" s="7">
        <v>6</v>
      </c>
      <c r="B7" s="8" t="s">
        <v>41</v>
      </c>
      <c r="C7" s="8" t="s">
        <v>37</v>
      </c>
      <c r="D7" s="8" t="s">
        <v>38</v>
      </c>
      <c r="E7" s="8" t="s">
        <v>39</v>
      </c>
      <c r="F7" s="8" t="s">
        <v>40</v>
      </c>
      <c r="G7" s="8" t="s">
        <v>41</v>
      </c>
      <c r="H7" s="8" t="s">
        <v>42</v>
      </c>
      <c r="I7" s="8" t="s">
        <v>43</v>
      </c>
      <c r="J7" s="8" t="s">
        <v>44</v>
      </c>
      <c r="K7" s="8" t="s">
        <v>45</v>
      </c>
      <c r="L7" s="55"/>
      <c r="M7" s="55"/>
      <c r="N7" s="55"/>
      <c r="O7" s="55"/>
      <c r="P7" s="13"/>
      <c r="Q7" s="13"/>
      <c r="R7" s="13"/>
      <c r="S7" s="13"/>
      <c r="T7" s="13"/>
    </row>
    <row r="8" spans="1:20" x14ac:dyDescent="0.25">
      <c r="A8" s="7">
        <v>7</v>
      </c>
      <c r="B8" s="8" t="s">
        <v>42</v>
      </c>
      <c r="C8" s="8" t="s">
        <v>37</v>
      </c>
      <c r="D8" s="8" t="s">
        <v>38</v>
      </c>
      <c r="E8" s="8" t="s">
        <v>39</v>
      </c>
      <c r="F8" s="8" t="s">
        <v>40</v>
      </c>
      <c r="G8" s="8" t="s">
        <v>41</v>
      </c>
      <c r="H8" s="8" t="s">
        <v>42</v>
      </c>
      <c r="I8" s="8" t="s">
        <v>43</v>
      </c>
      <c r="J8" s="8" t="s">
        <v>44</v>
      </c>
      <c r="K8" s="8" t="s">
        <v>45</v>
      </c>
      <c r="L8" s="55"/>
      <c r="M8" s="55"/>
      <c r="N8" s="55"/>
      <c r="O8" s="55"/>
      <c r="P8" s="13"/>
      <c r="Q8" s="13"/>
      <c r="R8" s="13"/>
      <c r="S8" s="13"/>
      <c r="T8" s="13"/>
    </row>
    <row r="9" spans="1:20" x14ac:dyDescent="0.25">
      <c r="A9" s="7">
        <v>8</v>
      </c>
      <c r="B9" s="8" t="s">
        <v>43</v>
      </c>
      <c r="C9" s="8" t="s">
        <v>37</v>
      </c>
      <c r="D9" s="8" t="s">
        <v>38</v>
      </c>
      <c r="E9" s="8" t="s">
        <v>39</v>
      </c>
      <c r="F9" s="8" t="s">
        <v>40</v>
      </c>
      <c r="G9" s="8" t="s">
        <v>41</v>
      </c>
      <c r="H9" s="8" t="s">
        <v>42</v>
      </c>
      <c r="I9" s="8" t="s">
        <v>43</v>
      </c>
      <c r="J9" s="8" t="s">
        <v>44</v>
      </c>
      <c r="K9" s="8" t="s">
        <v>45</v>
      </c>
      <c r="L9" s="55"/>
      <c r="M9" s="55"/>
      <c r="N9" s="55"/>
      <c r="O9" s="55"/>
      <c r="P9" s="13"/>
      <c r="Q9" s="13"/>
      <c r="R9" s="13"/>
      <c r="S9" s="13"/>
      <c r="T9" s="13"/>
    </row>
    <row r="10" spans="1:20" x14ac:dyDescent="0.25">
      <c r="A10" s="7">
        <v>9</v>
      </c>
      <c r="B10" s="8" t="s">
        <v>44</v>
      </c>
      <c r="C10" s="8" t="s">
        <v>37</v>
      </c>
      <c r="D10" s="8" t="s">
        <v>38</v>
      </c>
      <c r="E10" s="8" t="s">
        <v>39</v>
      </c>
      <c r="F10" s="8" t="s">
        <v>40</v>
      </c>
      <c r="G10" s="8" t="s">
        <v>41</v>
      </c>
      <c r="H10" s="8" t="s">
        <v>42</v>
      </c>
      <c r="I10" s="8" t="s">
        <v>43</v>
      </c>
      <c r="J10" s="8" t="s">
        <v>44</v>
      </c>
      <c r="K10" s="8" t="s">
        <v>45</v>
      </c>
      <c r="L10" s="55"/>
      <c r="M10" s="55"/>
      <c r="N10" s="55"/>
      <c r="O10" s="55"/>
      <c r="P10" s="13"/>
      <c r="Q10" s="13"/>
      <c r="R10" s="13"/>
      <c r="S10" s="13"/>
      <c r="T10" s="13"/>
    </row>
    <row r="11" spans="1:20" x14ac:dyDescent="0.25">
      <c r="A11" s="7">
        <v>10</v>
      </c>
      <c r="B11" s="8" t="s">
        <v>45</v>
      </c>
      <c r="C11" s="8" t="s">
        <v>37</v>
      </c>
      <c r="D11" s="8" t="s">
        <v>38</v>
      </c>
      <c r="E11" s="8" t="s">
        <v>39</v>
      </c>
      <c r="F11" s="8" t="s">
        <v>40</v>
      </c>
      <c r="G11" s="8" t="s">
        <v>41</v>
      </c>
      <c r="H11" s="8" t="s">
        <v>42</v>
      </c>
      <c r="I11" s="8" t="s">
        <v>43</v>
      </c>
      <c r="J11" s="8" t="s">
        <v>44</v>
      </c>
      <c r="K11" s="8" t="s">
        <v>45</v>
      </c>
      <c r="L11" s="55"/>
      <c r="M11" s="55"/>
      <c r="N11" s="55"/>
      <c r="O11" s="55"/>
      <c r="P11" s="13"/>
      <c r="Q11" s="13"/>
      <c r="R11" s="13"/>
      <c r="S11" s="13"/>
      <c r="T11" s="13"/>
    </row>
    <row r="12" spans="1:20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55"/>
      <c r="M12" s="55"/>
      <c r="N12" s="55"/>
      <c r="O12" s="55"/>
      <c r="P12" s="13"/>
      <c r="Q12" s="13"/>
      <c r="R12" s="13"/>
      <c r="S12" s="13"/>
      <c r="T12" s="13"/>
    </row>
    <row r="13" spans="1:20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55"/>
      <c r="M13" s="55"/>
      <c r="N13" s="55"/>
      <c r="O13" s="55"/>
      <c r="P13" s="13"/>
      <c r="Q13" s="13"/>
      <c r="R13" s="13"/>
      <c r="S13" s="13"/>
      <c r="T13" s="13"/>
    </row>
    <row r="14" spans="1:20" x14ac:dyDescent="0.25">
      <c r="A14" s="37"/>
      <c r="B14" s="33" t="s">
        <v>46</v>
      </c>
      <c r="C14" s="33" t="s">
        <v>47</v>
      </c>
      <c r="D14" s="33" t="s">
        <v>48</v>
      </c>
      <c r="E14" s="33" t="s">
        <v>49</v>
      </c>
      <c r="F14" s="33" t="s">
        <v>50</v>
      </c>
      <c r="G14" s="33" t="s">
        <v>51</v>
      </c>
      <c r="H14" s="33" t="s">
        <v>52</v>
      </c>
      <c r="I14" s="33" t="s">
        <v>53</v>
      </c>
      <c r="J14" s="33" t="s">
        <v>54</v>
      </c>
      <c r="K14" s="33" t="s">
        <v>55</v>
      </c>
      <c r="L14" s="55"/>
      <c r="M14" s="55"/>
      <c r="N14" s="55"/>
      <c r="O14" s="55"/>
      <c r="P14" s="13"/>
      <c r="Q14" s="13"/>
      <c r="R14" s="13"/>
      <c r="S14" s="13"/>
      <c r="T14" s="13"/>
    </row>
    <row r="15" spans="1:20" x14ac:dyDescent="0.25">
      <c r="A15" s="8" t="s">
        <v>36</v>
      </c>
      <c r="B15" s="37">
        <v>1</v>
      </c>
      <c r="C15" s="37">
        <v>2</v>
      </c>
      <c r="D15" s="37">
        <v>3</v>
      </c>
      <c r="E15" s="37">
        <v>4</v>
      </c>
      <c r="F15" s="37">
        <v>5</v>
      </c>
      <c r="G15" s="37">
        <v>6</v>
      </c>
      <c r="H15" s="37">
        <v>7</v>
      </c>
      <c r="I15" s="37">
        <v>8</v>
      </c>
      <c r="J15" s="37">
        <v>9</v>
      </c>
      <c r="K15" s="37">
        <v>10</v>
      </c>
      <c r="L15" s="55"/>
      <c r="M15" s="55"/>
      <c r="N15" s="55"/>
      <c r="O15" s="55"/>
      <c r="P15" s="13"/>
      <c r="Q15" s="13"/>
      <c r="R15" s="13"/>
      <c r="S15" s="13"/>
      <c r="T15" s="13"/>
    </row>
    <row r="16" spans="1:20" x14ac:dyDescent="0.25">
      <c r="A16" s="8" t="s">
        <v>37</v>
      </c>
      <c r="B16" s="37">
        <v>2</v>
      </c>
      <c r="C16" s="37">
        <v>2</v>
      </c>
      <c r="D16" s="37">
        <v>3</v>
      </c>
      <c r="E16" s="37">
        <v>4</v>
      </c>
      <c r="F16" s="37">
        <v>5</v>
      </c>
      <c r="G16" s="37">
        <v>6</v>
      </c>
      <c r="H16" s="37">
        <v>7</v>
      </c>
      <c r="I16" s="37">
        <v>8</v>
      </c>
      <c r="J16" s="37">
        <v>9</v>
      </c>
      <c r="K16" s="37">
        <v>10</v>
      </c>
      <c r="L16" s="13"/>
      <c r="M16" s="13"/>
      <c r="N16" s="13"/>
      <c r="O16" s="13"/>
      <c r="P16" s="13"/>
      <c r="Q16" s="13"/>
      <c r="R16" s="13"/>
      <c r="S16" s="13"/>
      <c r="T16" s="13"/>
    </row>
    <row r="17" spans="1:20" x14ac:dyDescent="0.25">
      <c r="A17" s="8" t="s">
        <v>38</v>
      </c>
      <c r="B17" s="37">
        <v>3</v>
      </c>
      <c r="C17" s="37">
        <v>2</v>
      </c>
      <c r="D17" s="37">
        <v>3</v>
      </c>
      <c r="E17" s="37">
        <v>4</v>
      </c>
      <c r="F17" s="37">
        <v>5</v>
      </c>
      <c r="G17" s="37">
        <v>6</v>
      </c>
      <c r="H17" s="37">
        <v>7</v>
      </c>
      <c r="I17" s="37">
        <v>8</v>
      </c>
      <c r="J17" s="37">
        <v>9</v>
      </c>
      <c r="K17" s="37">
        <v>10</v>
      </c>
      <c r="L17" s="13"/>
      <c r="M17" s="13"/>
      <c r="N17" s="13"/>
      <c r="O17" s="13"/>
      <c r="P17" s="13"/>
      <c r="Q17" s="13"/>
      <c r="R17" s="13"/>
      <c r="S17" s="13"/>
      <c r="T17" s="13"/>
    </row>
    <row r="18" spans="1:20" x14ac:dyDescent="0.25">
      <c r="A18" s="8" t="s">
        <v>39</v>
      </c>
      <c r="B18" s="37">
        <v>4</v>
      </c>
      <c r="C18" s="37">
        <v>2</v>
      </c>
      <c r="D18" s="37">
        <v>3</v>
      </c>
      <c r="E18" s="37">
        <v>4</v>
      </c>
      <c r="F18" s="37">
        <v>5</v>
      </c>
      <c r="G18" s="37">
        <v>6</v>
      </c>
      <c r="H18" s="37">
        <v>7</v>
      </c>
      <c r="I18" s="37">
        <v>8</v>
      </c>
      <c r="J18" s="37">
        <v>9</v>
      </c>
      <c r="K18" s="37">
        <v>10</v>
      </c>
      <c r="L18" s="56"/>
      <c r="M18" s="56"/>
      <c r="N18" s="56"/>
      <c r="O18" s="56"/>
      <c r="P18" s="13"/>
      <c r="Q18" s="13"/>
      <c r="R18" s="13"/>
      <c r="S18" s="13"/>
      <c r="T18" s="13"/>
    </row>
    <row r="19" spans="1:20" x14ac:dyDescent="0.25">
      <c r="A19" s="8" t="s">
        <v>40</v>
      </c>
      <c r="B19" s="37">
        <v>5</v>
      </c>
      <c r="C19" s="37">
        <v>2</v>
      </c>
      <c r="D19" s="37">
        <v>3</v>
      </c>
      <c r="E19" s="37">
        <v>4</v>
      </c>
      <c r="F19" s="37">
        <v>5</v>
      </c>
      <c r="G19" s="37">
        <v>6</v>
      </c>
      <c r="H19" s="37">
        <v>7</v>
      </c>
      <c r="I19" s="37">
        <v>8</v>
      </c>
      <c r="J19" s="37">
        <v>9</v>
      </c>
      <c r="K19" s="37">
        <v>10</v>
      </c>
      <c r="L19" s="13"/>
      <c r="M19" s="13"/>
      <c r="N19" s="13"/>
      <c r="O19" s="13"/>
      <c r="P19" s="13"/>
      <c r="Q19" s="13"/>
      <c r="R19" s="13"/>
      <c r="S19" s="13"/>
      <c r="T19" s="13"/>
    </row>
    <row r="20" spans="1:20" x14ac:dyDescent="0.25">
      <c r="A20" s="8" t="s">
        <v>41</v>
      </c>
      <c r="B20" s="37">
        <v>6</v>
      </c>
      <c r="C20" s="37">
        <v>2</v>
      </c>
      <c r="D20" s="37">
        <v>3</v>
      </c>
      <c r="E20" s="37">
        <v>4</v>
      </c>
      <c r="F20" s="37">
        <v>5</v>
      </c>
      <c r="G20" s="37">
        <v>6</v>
      </c>
      <c r="H20" s="37">
        <v>7</v>
      </c>
      <c r="I20" s="37">
        <v>8</v>
      </c>
      <c r="J20" s="37">
        <v>9</v>
      </c>
      <c r="K20" s="37">
        <v>10</v>
      </c>
      <c r="L20" s="13"/>
      <c r="M20" s="13"/>
      <c r="N20" s="13"/>
      <c r="O20" s="13"/>
      <c r="P20" s="13"/>
      <c r="Q20" s="13"/>
      <c r="R20" s="13"/>
      <c r="S20" s="13"/>
      <c r="T20" s="13"/>
    </row>
    <row r="21" spans="1:20" x14ac:dyDescent="0.25">
      <c r="A21" s="8" t="s">
        <v>42</v>
      </c>
      <c r="B21" s="37">
        <v>7</v>
      </c>
      <c r="C21" s="37">
        <v>2</v>
      </c>
      <c r="D21" s="37">
        <v>3</v>
      </c>
      <c r="E21" s="37">
        <v>4</v>
      </c>
      <c r="F21" s="37">
        <v>5</v>
      </c>
      <c r="G21" s="37">
        <v>6</v>
      </c>
      <c r="H21" s="37">
        <v>7</v>
      </c>
      <c r="I21" s="37">
        <v>8</v>
      </c>
      <c r="J21" s="37">
        <v>9</v>
      </c>
      <c r="K21" s="37">
        <v>10</v>
      </c>
      <c r="L21" s="13"/>
      <c r="M21" s="13"/>
      <c r="N21" s="13"/>
      <c r="O21" s="13"/>
      <c r="P21" s="13"/>
      <c r="Q21" s="13"/>
      <c r="R21" s="13"/>
      <c r="S21" s="13"/>
      <c r="T21" s="13"/>
    </row>
    <row r="22" spans="1:20" x14ac:dyDescent="0.25">
      <c r="A22" s="8" t="s">
        <v>43</v>
      </c>
      <c r="B22" s="37">
        <v>8</v>
      </c>
      <c r="C22" s="37">
        <v>2</v>
      </c>
      <c r="D22" s="37">
        <v>3</v>
      </c>
      <c r="E22" s="37">
        <v>4</v>
      </c>
      <c r="F22" s="37">
        <v>5</v>
      </c>
      <c r="G22" s="37">
        <v>6</v>
      </c>
      <c r="H22" s="37">
        <v>7</v>
      </c>
      <c r="I22" s="37">
        <v>8</v>
      </c>
      <c r="J22" s="37">
        <v>9</v>
      </c>
      <c r="K22" s="37">
        <v>10</v>
      </c>
      <c r="L22" s="13"/>
      <c r="M22" s="13"/>
      <c r="N22" s="13"/>
      <c r="O22" s="13"/>
      <c r="P22" s="13"/>
      <c r="Q22" s="13"/>
      <c r="R22" s="13"/>
      <c r="S22" s="13"/>
      <c r="T22" s="13"/>
    </row>
    <row r="23" spans="1:20" x14ac:dyDescent="0.25">
      <c r="A23" s="8" t="s">
        <v>44</v>
      </c>
      <c r="B23" s="37">
        <v>9</v>
      </c>
      <c r="C23" s="37">
        <v>2</v>
      </c>
      <c r="D23" s="37">
        <v>3</v>
      </c>
      <c r="E23" s="37">
        <v>4</v>
      </c>
      <c r="F23" s="37">
        <v>5</v>
      </c>
      <c r="G23" s="37">
        <v>6</v>
      </c>
      <c r="H23" s="37">
        <v>7</v>
      </c>
      <c r="I23" s="37">
        <v>8</v>
      </c>
      <c r="J23" s="37">
        <v>9</v>
      </c>
      <c r="K23" s="37">
        <v>10</v>
      </c>
    </row>
    <row r="24" spans="1:20" x14ac:dyDescent="0.25">
      <c r="A24" s="8" t="s">
        <v>45</v>
      </c>
      <c r="B24" s="37">
        <v>10</v>
      </c>
      <c r="C24" s="37">
        <v>2</v>
      </c>
      <c r="D24" s="37">
        <v>3</v>
      </c>
      <c r="E24" s="37">
        <v>4</v>
      </c>
      <c r="F24" s="37">
        <v>5</v>
      </c>
      <c r="G24" s="37">
        <v>6</v>
      </c>
      <c r="H24" s="37">
        <v>7</v>
      </c>
      <c r="I24" s="37">
        <v>8</v>
      </c>
      <c r="J24" s="37">
        <v>9</v>
      </c>
      <c r="K24" s="37">
        <v>10</v>
      </c>
    </row>
    <row r="25" spans="1:20" x14ac:dyDescent="0.25">
      <c r="A25" s="8"/>
    </row>
    <row r="26" spans="1:20" x14ac:dyDescent="0.25">
      <c r="A26" s="8"/>
    </row>
    <row r="27" spans="1:20" x14ac:dyDescent="0.25">
      <c r="A27" s="8"/>
    </row>
    <row r="28" spans="1:20" x14ac:dyDescent="0.25">
      <c r="A28" s="8"/>
    </row>
    <row r="29" spans="1:20" x14ac:dyDescent="0.25">
      <c r="A29" s="8"/>
    </row>
    <row r="30" spans="1:20" x14ac:dyDescent="0.25">
      <c r="A30" s="8"/>
    </row>
    <row r="31" spans="1:20" x14ac:dyDescent="0.25">
      <c r="A31" s="8"/>
    </row>
    <row r="32" spans="1:20" x14ac:dyDescent="0.25">
      <c r="A32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Matlab</vt:lpstr>
      <vt:lpstr>Sched</vt:lpstr>
      <vt:lpstr>Cal</vt:lpstr>
      <vt:lpstr>Extra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Donniell</cp:lastModifiedBy>
  <cp:lastPrinted>2016-03-22T22:24:11Z</cp:lastPrinted>
  <dcterms:created xsi:type="dcterms:W3CDTF">2014-09-16T16:04:48Z</dcterms:created>
  <dcterms:modified xsi:type="dcterms:W3CDTF">2018-01-19T15:55:16Z</dcterms:modified>
</cp:coreProperties>
</file>